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  <sheet name="Arkusz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<sst xmlns="http://schemas.openxmlformats.org/spreadsheetml/2006/main" count="35" uniqueCount="30">
  <si>
    <r>
      <rPr>
        <sz val="14"/>
        <rFont val="Arial"/>
        <family val="2"/>
        <charset val="238"/>
      </rPr>
      <t xml:space="preserve">SPRAWDZENIE MIERNIKA IMPEDANCJI PĘTLI ZWARCIA POPRZEZ POMIAR Z</t>
    </r>
    <r>
      <rPr>
        <vertAlign val="subscript"/>
        <sz val="14"/>
        <rFont val="Arial"/>
        <family val="2"/>
        <charset val="238"/>
      </rPr>
      <t xml:space="preserve">0</t>
    </r>
    <r>
      <rPr>
        <sz val="14"/>
        <rFont val="Arial"/>
        <family val="2"/>
        <charset val="238"/>
      </rPr>
      <t xml:space="preserve"> i (R</t>
    </r>
    <r>
      <rPr>
        <vertAlign val="subscript"/>
        <sz val="14"/>
        <rFont val="Arial"/>
        <family val="2"/>
        <charset val="238"/>
      </rPr>
      <t xml:space="preserve">S</t>
    </r>
    <r>
      <rPr>
        <sz val="14"/>
        <rFont val="Arial"/>
        <family val="2"/>
        <charset val="238"/>
      </rPr>
      <t xml:space="preserve"> +  Z</t>
    </r>
    <r>
      <rPr>
        <vertAlign val="subscript"/>
        <sz val="14"/>
        <rFont val="Arial"/>
        <family val="2"/>
        <charset val="238"/>
      </rPr>
      <t xml:space="preserve">0</t>
    </r>
    <r>
      <rPr>
        <sz val="14"/>
        <rFont val="Arial"/>
        <family val="2"/>
        <charset val="238"/>
      </rPr>
      <t xml:space="preserve">) – miernik XXXXXXXX</t>
    </r>
  </si>
  <si>
    <t xml:space="preserve">błąd miernika</t>
  </si>
  <si>
    <t xml:space="preserve">% wartości zmierzonej</t>
  </si>
  <si>
    <t xml:space="preserve">ilość cyfr</t>
  </si>
  <si>
    <t xml:space="preserve">wartość stała</t>
  </si>
  <si>
    <t xml:space="preserve">wyniki pomiarów</t>
  </si>
  <si>
    <r>
      <rPr>
        <sz val="20"/>
        <rFont val="Tahoma"/>
        <family val="2"/>
        <charset val="238"/>
      </rPr>
      <t xml:space="preserve">Z</t>
    </r>
    <r>
      <rPr>
        <vertAlign val="subscript"/>
        <sz val="20"/>
        <rFont val="Tahoma"/>
        <family val="2"/>
        <charset val="238"/>
      </rPr>
      <t xml:space="preserve">0</t>
    </r>
  </si>
  <si>
    <r>
      <rPr>
        <sz val="20"/>
        <rFont val="Tahoma"/>
        <family val="1"/>
        <charset val="238"/>
      </rPr>
      <t xml:space="preserve">R</t>
    </r>
    <r>
      <rPr>
        <vertAlign val="subscript"/>
        <sz val="20"/>
        <rFont val="Tahoma"/>
        <family val="1"/>
        <charset val="238"/>
      </rPr>
      <t xml:space="preserve">S1</t>
    </r>
    <r>
      <rPr>
        <sz val="20"/>
        <rFont val="Tahoma"/>
        <family val="1"/>
        <charset val="238"/>
      </rPr>
      <t xml:space="preserve">+  </t>
    </r>
    <r>
      <rPr>
        <sz val="20"/>
        <rFont val="Tahoma"/>
        <family val="2"/>
        <charset val="238"/>
      </rPr>
      <t xml:space="preserve">Z</t>
    </r>
    <r>
      <rPr>
        <vertAlign val="subscript"/>
        <sz val="20"/>
        <rFont val="Tahoma"/>
        <family val="2"/>
        <charset val="238"/>
      </rPr>
      <t xml:space="preserve">0</t>
    </r>
  </si>
  <si>
    <r>
      <rPr>
        <sz val="20"/>
        <rFont val="Tahoma"/>
        <family val="1"/>
        <charset val="238"/>
      </rPr>
      <t xml:space="preserve">R</t>
    </r>
    <r>
      <rPr>
        <vertAlign val="subscript"/>
        <sz val="20"/>
        <rFont val="Tahoma"/>
        <family val="1"/>
        <charset val="238"/>
      </rPr>
      <t xml:space="preserve">S2</t>
    </r>
    <r>
      <rPr>
        <sz val="20"/>
        <rFont val="Tahoma"/>
        <family val="1"/>
        <charset val="238"/>
      </rPr>
      <t xml:space="preserve"> +  </t>
    </r>
    <r>
      <rPr>
        <sz val="20"/>
        <rFont val="Tahoma"/>
        <family val="2"/>
        <charset val="238"/>
      </rPr>
      <t xml:space="preserve">Z</t>
    </r>
    <r>
      <rPr>
        <vertAlign val="subscript"/>
        <sz val="20"/>
        <rFont val="Tahoma"/>
        <family val="2"/>
        <charset val="238"/>
      </rPr>
      <t xml:space="preserve">0</t>
    </r>
  </si>
  <si>
    <r>
      <rPr>
        <sz val="20"/>
        <rFont val="Tahoma"/>
        <family val="1"/>
        <charset val="238"/>
      </rPr>
      <t xml:space="preserve">R</t>
    </r>
    <r>
      <rPr>
        <vertAlign val="subscript"/>
        <sz val="20"/>
        <rFont val="Tahoma"/>
        <family val="1"/>
        <charset val="238"/>
      </rPr>
      <t xml:space="preserve">S3</t>
    </r>
    <r>
      <rPr>
        <sz val="20"/>
        <rFont val="Tahoma"/>
        <family val="1"/>
        <charset val="238"/>
      </rPr>
      <t xml:space="preserve"> +  </t>
    </r>
    <r>
      <rPr>
        <sz val="20"/>
        <rFont val="Tahoma"/>
        <family val="2"/>
        <charset val="238"/>
      </rPr>
      <t xml:space="preserve">Z</t>
    </r>
    <r>
      <rPr>
        <vertAlign val="subscript"/>
        <sz val="20"/>
        <rFont val="Tahoma"/>
        <family val="2"/>
        <charset val="238"/>
      </rPr>
      <t xml:space="preserve">0</t>
    </r>
  </si>
  <si>
    <r>
      <rPr>
        <sz val="20"/>
        <rFont val="Tahoma"/>
        <family val="1"/>
        <charset val="238"/>
      </rPr>
      <t xml:space="preserve">R</t>
    </r>
    <r>
      <rPr>
        <vertAlign val="subscript"/>
        <sz val="20"/>
        <rFont val="Tahoma"/>
        <family val="1"/>
        <charset val="238"/>
      </rPr>
      <t xml:space="preserve">S4</t>
    </r>
    <r>
      <rPr>
        <sz val="20"/>
        <rFont val="Tahoma"/>
        <family val="1"/>
        <charset val="238"/>
      </rPr>
      <t xml:space="preserve"> +  </t>
    </r>
    <r>
      <rPr>
        <sz val="20"/>
        <rFont val="Tahoma"/>
        <family val="2"/>
        <charset val="238"/>
      </rPr>
      <t xml:space="preserve">Z</t>
    </r>
    <r>
      <rPr>
        <vertAlign val="subscript"/>
        <sz val="20"/>
        <rFont val="Tahoma"/>
        <family val="2"/>
        <charset val="238"/>
      </rPr>
      <t xml:space="preserve">0</t>
    </r>
  </si>
  <si>
    <r>
      <rPr>
        <sz val="20"/>
        <rFont val="Tahoma"/>
        <family val="1"/>
        <charset val="238"/>
      </rPr>
      <t xml:space="preserve">R</t>
    </r>
    <r>
      <rPr>
        <vertAlign val="subscript"/>
        <sz val="20"/>
        <rFont val="Tahoma"/>
        <family val="1"/>
        <charset val="238"/>
      </rPr>
      <t xml:space="preserve">S5</t>
    </r>
    <r>
      <rPr>
        <sz val="20"/>
        <rFont val="Tahoma"/>
        <family val="1"/>
        <charset val="238"/>
      </rPr>
      <t xml:space="preserve"> +  </t>
    </r>
    <r>
      <rPr>
        <sz val="20"/>
        <rFont val="Tahoma"/>
        <family val="2"/>
        <charset val="238"/>
      </rPr>
      <t xml:space="preserve">Z</t>
    </r>
    <r>
      <rPr>
        <vertAlign val="subscript"/>
        <sz val="20"/>
        <rFont val="Tahoma"/>
        <family val="2"/>
        <charset val="238"/>
      </rPr>
      <t xml:space="preserve">0</t>
    </r>
  </si>
  <si>
    <t xml:space="preserve">Ω</t>
  </si>
  <si>
    <t xml:space="preserve">Uwagi:
1. w kolumnie Zo musi być 15 pomiarów a pola Rsn+Zo 6 pomiarów– w innym wypadku należy skorygować pole średnia, odchylenie standardowe i niepewność serii pomiarów – zmienić liczbę na odpowiednią równą ilości pomiarów pod pierwiastkiem. Uwaga nie należy zastępować brakujących pomiarów 0!
2. uwaga z punktu pierwszego dotyczy odpowiednio kolumn od Rs1+Zo do Rs5+Zo
3. należy uzupełnić dane dotyczące błędu miernika na badanym zakresie. Błąd ten może być różnie określony np.. %wart zmierzonej + ilość cyfr lub %wartości zmierzonej lub %wartości zmierzonej+wartość stała – należy wypełnić odpowiednie pola, w niepotrzebne wpisać 0.</t>
  </si>
  <si>
    <t xml:space="preserve">średnia</t>
  </si>
  <si>
    <t xml:space="preserve">odchylenie standardowe</t>
  </si>
  <si>
    <t xml:space="preserve">niepewność serii pomiarów</t>
  </si>
  <si>
    <t xml:space="preserve">rozdzielczość</t>
  </si>
  <si>
    <t xml:space="preserve">błąd rozdzielczości</t>
  </si>
  <si>
    <t xml:space="preserve">niepewność związana z rozdzielczością</t>
  </si>
  <si>
    <r>
      <rPr>
        <sz val="14"/>
        <rFont val="Arial CE"/>
        <family val="2"/>
        <charset val="238"/>
      </rPr>
      <t xml:space="preserve">niepewność związana z błędem wzorca R</t>
    </r>
    <r>
      <rPr>
        <vertAlign val="subscript"/>
        <sz val="14"/>
        <rFont val="Arial CE"/>
        <family val="2"/>
        <charset val="238"/>
      </rPr>
      <t xml:space="preserve">sn</t>
    </r>
  </si>
  <si>
    <t xml:space="preserve">niepewność procedury sprawdzenia (standardowa k=1)</t>
  </si>
  <si>
    <t xml:space="preserve">niepewność procedury sprawdzenia (rozszerzona k=2)</t>
  </si>
  <si>
    <r>
      <rPr>
        <sz val="14"/>
        <rFont val="Arial"/>
        <family val="2"/>
        <charset val="238"/>
      </rPr>
      <t xml:space="preserve">wartości </t>
    </r>
    <r>
      <rPr>
        <sz val="14"/>
        <rFont val="Tahoma"/>
        <family val="1"/>
        <charset val="238"/>
      </rPr>
      <t xml:space="preserve">R</t>
    </r>
    <r>
      <rPr>
        <vertAlign val="subscript"/>
        <sz val="14"/>
        <rFont val="Tahoma"/>
        <family val="1"/>
        <charset val="238"/>
      </rPr>
      <t xml:space="preserve">sn</t>
    </r>
    <r>
      <rPr>
        <sz val="14"/>
        <rFont val="Tahoma"/>
        <family val="1"/>
        <charset val="238"/>
      </rPr>
      <t xml:space="preserve"> zmierzona</t>
    </r>
  </si>
  <si>
    <r>
      <rPr>
        <sz val="14"/>
        <rFont val="Arial"/>
        <family val="2"/>
        <charset val="238"/>
      </rPr>
      <t xml:space="preserve">wartości </t>
    </r>
    <r>
      <rPr>
        <sz val="14"/>
        <rFont val="Tahoma"/>
        <family val="1"/>
        <charset val="238"/>
      </rPr>
      <t xml:space="preserve">R</t>
    </r>
    <r>
      <rPr>
        <vertAlign val="subscript"/>
        <sz val="14"/>
        <rFont val="Tahoma"/>
        <family val="1"/>
        <charset val="238"/>
      </rPr>
      <t xml:space="preserve">sn</t>
    </r>
    <r>
      <rPr>
        <sz val="14"/>
        <rFont val="Tahoma"/>
        <family val="1"/>
        <charset val="238"/>
      </rPr>
      <t xml:space="preserve"> rzeczywista</t>
    </r>
  </si>
  <si>
    <t xml:space="preserve">| błąd |</t>
  </si>
  <si>
    <t xml:space="preserve">max. błąd miernika</t>
  </si>
  <si>
    <t xml:space="preserve">ocena:| błąd | + niepewność procedury sprawdzenia rozszerzona &lt;= max. błąd miernika</t>
  </si>
  <si>
    <r>
      <rPr>
        <sz val="14"/>
        <rFont val="Arial CE"/>
        <family val="2"/>
        <charset val="238"/>
      </rPr>
      <t xml:space="preserve">stabilność sieci = </t>
    </r>
    <r>
      <rPr>
        <sz val="12"/>
        <rFont val="Arial CE"/>
        <family val="2"/>
        <charset val="238"/>
      </rPr>
      <t xml:space="preserve">niepewność serii pomiarów /  Z</t>
    </r>
    <r>
      <rPr>
        <vertAlign val="subscript"/>
        <sz val="12"/>
        <rFont val="Arial CE"/>
        <family val="2"/>
        <charset val="238"/>
      </rPr>
      <t xml:space="preserve">0</t>
    </r>
    <r>
      <rPr>
        <sz val="12"/>
        <rFont val="Arial CE"/>
        <family val="2"/>
        <charset val="238"/>
      </rPr>
      <t xml:space="preserve"> * 100%
</t>
    </r>
    <r>
      <rPr>
        <sz val="14"/>
        <rFont val="Arial CE"/>
        <family val="2"/>
        <charset val="238"/>
      </rPr>
      <t xml:space="preserve">
</t>
    </r>
    <r>
      <rPr>
        <sz val="10"/>
        <rFont val="Arial CE"/>
        <family val="2"/>
        <charset val="238"/>
      </rPr>
      <t xml:space="preserve">≤ 0,2%      sieć bardzo stabilna idealne warunki pomiarowe
0,2–0,5%  sieć stabilna zmienność pomijalna
0,5–1,0%  sieć umiarkowanie stabilna widoczna zmienność
1,0–2,0%  sieć niestabilna zalecane zwiększenie liczby pomiarów
&gt; 2,0%      sieć bardzo niestabilna wyniki mogą być niewiarygodne
</t>
    </r>
  </si>
  <si>
    <t xml:space="preserve">OCENA KOŃCOWA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</si>
</sst>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.0000"/>
    <numFmt numFmtId="167" formatCode="0.00000"/>
    <numFmt numFmtId="168" formatCode="General"/>
    <numFmt numFmtId="169" formatCode="0.00%"/>
  </numFmts>
  <fonts count="24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4"/>
      <name val="Arial"/>
      <family val="2"/>
      <charset val="238"/>
    </font>
    <font>
      <vertAlign val="subscript"/>
      <sz val="14"/>
      <name val="Arial"/>
      <family val="2"/>
      <charset val="238"/>
    </font>
    <font>
      <sz val="14"/>
      <name val="Arial CE"/>
      <family val="2"/>
      <charset val="238"/>
    </font>
    <font>
      <sz val="12"/>
      <name val="Arial CE"/>
      <family val="2"/>
      <charset val="238"/>
    </font>
    <font>
      <sz val="10"/>
      <name val="Tahoma"/>
      <family val="2"/>
      <charset val="238"/>
    </font>
    <font>
      <sz val="20"/>
      <name val="Arial"/>
      <family val="2"/>
      <charset val="238"/>
    </font>
    <font>
      <sz val="20"/>
      <name val="Tahoma"/>
      <family val="2"/>
      <charset val="238"/>
    </font>
    <font>
      <vertAlign val="subscript"/>
      <sz val="20"/>
      <name val="Tahoma"/>
      <family val="2"/>
      <charset val="238"/>
    </font>
    <font>
      <sz val="20"/>
      <name val="Tahoma"/>
      <family val="1"/>
      <charset val="238"/>
    </font>
    <font>
      <vertAlign val="subscript"/>
      <sz val="20"/>
      <name val="Tahoma"/>
      <family val="1"/>
      <charset val="238"/>
    </font>
    <font>
      <sz val="12"/>
      <name val="Times New Roman"/>
      <family val="1"/>
      <charset val="238"/>
    </font>
    <font>
      <sz val="10"/>
      <name val="Tahoma"/>
      <family val="1"/>
      <charset val="238"/>
    </font>
    <font>
      <sz val="12"/>
      <name val="Arial"/>
      <family val="2"/>
      <charset val="238"/>
    </font>
    <font>
      <vertAlign val="subscript"/>
      <sz val="14"/>
      <name val="Arial CE"/>
      <family val="2"/>
      <charset val="238"/>
    </font>
    <font>
      <sz val="13"/>
      <name val="Arial CE"/>
      <family val="2"/>
      <charset val="238"/>
    </font>
    <font>
      <sz val="14"/>
      <name val="Tahoma"/>
      <family val="1"/>
      <charset val="238"/>
    </font>
    <font>
      <vertAlign val="subscript"/>
      <sz val="14"/>
      <name val="Tahoma"/>
      <family val="1"/>
      <charset val="238"/>
    </font>
    <font>
      <vertAlign val="subscript"/>
      <sz val="12"/>
      <name val="Arial CE"/>
      <family val="2"/>
      <charset val="238"/>
    </font>
    <font>
      <sz val="10"/>
      <name val="Arial CE"/>
      <family val="2"/>
      <charset val="238"/>
    </font>
    <font>
      <sz val="18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  <fill>
      <patternFill patternType="solid">
        <fgColor rgb="FFB4C7DC"/>
        <bgColor rgb="FFCCCCFF"/>
      </patternFill>
    </fill>
    <fill>
      <patternFill patternType="solid">
        <fgColor rgb="FF729FCF"/>
        <bgColor rgb="FF969696"/>
      </patternFill>
    </fill>
    <fill>
      <patternFill patternType="solid">
        <fgColor rgb="FFFFDE59"/>
        <bgColor rgb="FFE8F2A1"/>
      </patternFill>
    </fill>
    <fill>
      <patternFill patternType="solid">
        <fgColor rgb="FFFF860D"/>
        <bgColor rgb="FFFF6600"/>
      </patternFill>
    </fill>
    <fill>
      <patternFill patternType="solid">
        <fgColor rgb="FFFFAA95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AA95"/>
      <rgbColor rgb="FFCC99FF"/>
      <rgbColor rgb="FFFFDE59"/>
      <rgbColor rgb="FF3366FF"/>
      <rgbColor rgb="FF33CCCC"/>
      <rgbColor rgb="FF99CC00"/>
      <rgbColor rgb="FFFFCC00"/>
      <rgbColor rgb="FFFF860D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true" showOutlineSymbols="true" defaultGridColor="true" view="normal" topLeftCell="A19" colorId="64" zoomScale="90" zoomScaleNormal="90" zoomScalePageLayoutView="100" workbookViewId="0">
      <selection pane="topLeft" activeCell="C41" activeCellId="0" sqref="C4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0.61"/>
    <col collapsed="false" customWidth="true" hidden="false" outlineLevel="0" max="2" min="2" style="0" width="17.24"/>
    <col collapsed="false" customWidth="true" hidden="false" outlineLevel="0" max="7" min="3" style="0" width="27.07"/>
  </cols>
  <sheetData>
    <row r="1" customFormat="false" ht="12.8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2.8" hidden="false" customHeight="true" outlineLevel="0" collapsed="false">
      <c r="A2" s="1"/>
      <c r="B2" s="1"/>
      <c r="C2" s="1"/>
      <c r="D2" s="1"/>
      <c r="E2" s="1"/>
      <c r="F2" s="1"/>
      <c r="G2" s="1"/>
    </row>
    <row r="3" customFormat="false" ht="12.8" hidden="false" customHeight="true" outlineLevel="0" collapsed="false">
      <c r="A3" s="2" t="s">
        <v>1</v>
      </c>
      <c r="B3" s="3"/>
      <c r="C3" s="4" t="s">
        <v>2</v>
      </c>
      <c r="D3" s="4" t="s">
        <v>3</v>
      </c>
      <c r="E3" s="4" t="s">
        <v>4</v>
      </c>
      <c r="F3" s="5"/>
      <c r="G3" s="5"/>
    </row>
    <row r="4" customFormat="false" ht="12.8" hidden="false" customHeight="true" outlineLevel="0" collapsed="false">
      <c r="A4" s="2"/>
      <c r="B4" s="3"/>
      <c r="C4" s="4" t="n">
        <v>5</v>
      </c>
      <c r="D4" s="4" t="n">
        <v>0</v>
      </c>
      <c r="E4" s="4" t="n">
        <v>0.03</v>
      </c>
      <c r="F4" s="5"/>
      <c r="G4" s="5"/>
    </row>
    <row r="5" customFormat="false" ht="12.8" hidden="false" customHeight="true" outlineLevel="0" collapsed="false">
      <c r="A5" s="2"/>
      <c r="B5" s="3"/>
      <c r="C5" s="5"/>
      <c r="D5" s="5"/>
      <c r="E5" s="5"/>
      <c r="F5" s="5"/>
      <c r="G5" s="5"/>
    </row>
    <row r="6" customFormat="false" ht="26.55" hidden="false" customHeight="true" outlineLevel="0" collapsed="false">
      <c r="A6" s="6" t="s">
        <v>5</v>
      </c>
      <c r="B6" s="7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</row>
    <row r="7" customFormat="false" ht="26.55" hidden="false" customHeight="true" outlineLevel="0" collapsed="false">
      <c r="A7" s="6"/>
      <c r="B7" s="9" t="s">
        <v>12</v>
      </c>
      <c r="C7" s="9" t="s">
        <v>12</v>
      </c>
      <c r="D7" s="9" t="s">
        <v>12</v>
      </c>
      <c r="E7" s="9" t="s">
        <v>12</v>
      </c>
      <c r="F7" s="9" t="s">
        <v>12</v>
      </c>
      <c r="G7" s="9" t="s">
        <v>12</v>
      </c>
    </row>
    <row r="8" customFormat="false" ht="19.85" hidden="false" customHeight="true" outlineLevel="0" collapsed="false">
      <c r="A8" s="6"/>
      <c r="B8" s="10" t="n">
        <v>0.472</v>
      </c>
      <c r="C8" s="10" t="n">
        <v>0.679</v>
      </c>
      <c r="D8" s="10" t="n">
        <v>1.021</v>
      </c>
      <c r="E8" s="10" t="n">
        <v>1.502</v>
      </c>
      <c r="F8" s="10" t="n">
        <v>2.481</v>
      </c>
      <c r="G8" s="10" t="n">
        <v>4.697</v>
      </c>
    </row>
    <row r="9" customFormat="false" ht="19.85" hidden="false" customHeight="true" outlineLevel="0" collapsed="false">
      <c r="A9" s="6"/>
      <c r="B9" s="10" t="n">
        <v>0.462</v>
      </c>
      <c r="C9" s="10" t="n">
        <v>0.681</v>
      </c>
      <c r="D9" s="10" t="n">
        <v>1.022</v>
      </c>
      <c r="E9" s="10" t="n">
        <v>1.503</v>
      </c>
      <c r="F9" s="10" t="n">
        <v>2.481</v>
      </c>
      <c r="G9" s="10" t="n">
        <v>4.692</v>
      </c>
    </row>
    <row r="10" customFormat="false" ht="19.85" hidden="false" customHeight="true" outlineLevel="0" collapsed="false">
      <c r="A10" s="6"/>
      <c r="B10" s="10" t="n">
        <v>0.469</v>
      </c>
      <c r="C10" s="10" t="n">
        <v>0.68</v>
      </c>
      <c r="D10" s="10" t="n">
        <v>1.022</v>
      </c>
      <c r="E10" s="10" t="n">
        <v>1.501</v>
      </c>
      <c r="F10" s="10" t="n">
        <v>2.479</v>
      </c>
      <c r="G10" s="10" t="n">
        <v>4.694</v>
      </c>
    </row>
    <row r="11" customFormat="false" ht="19.85" hidden="false" customHeight="true" outlineLevel="0" collapsed="false">
      <c r="A11" s="6"/>
      <c r="B11" s="10" t="n">
        <v>0.465</v>
      </c>
      <c r="C11" s="10" t="n">
        <v>0.675</v>
      </c>
      <c r="D11" s="10" t="n">
        <v>1.023</v>
      </c>
      <c r="E11" s="10" t="n">
        <v>1.502</v>
      </c>
      <c r="F11" s="10" t="n">
        <v>2.479</v>
      </c>
      <c r="G11" s="10" t="n">
        <v>4.689</v>
      </c>
    </row>
    <row r="12" customFormat="false" ht="19.85" hidden="false" customHeight="true" outlineLevel="0" collapsed="false">
      <c r="A12" s="6"/>
      <c r="B12" s="10" t="n">
        <v>0.461</v>
      </c>
      <c r="C12" s="10" t="n">
        <v>0.678</v>
      </c>
      <c r="D12" s="10" t="n">
        <v>1.014</v>
      </c>
      <c r="E12" s="10" t="n">
        <v>1.503</v>
      </c>
      <c r="F12" s="10" t="n">
        <v>2.481</v>
      </c>
      <c r="G12" s="10" t="n">
        <v>4.692</v>
      </c>
    </row>
    <row r="13" customFormat="false" ht="19.85" hidden="false" customHeight="true" outlineLevel="0" collapsed="false">
      <c r="A13" s="6"/>
      <c r="B13" s="10" t="n">
        <v>0.47</v>
      </c>
      <c r="C13" s="10" t="n">
        <v>0.68</v>
      </c>
      <c r="D13" s="10" t="n">
        <v>1.014</v>
      </c>
      <c r="E13" s="10" t="n">
        <v>1.505</v>
      </c>
      <c r="F13" s="10" t="n">
        <v>2.482</v>
      </c>
      <c r="G13" s="10" t="n">
        <v>4.699</v>
      </c>
    </row>
    <row r="14" customFormat="false" ht="19.85" hidden="false" customHeight="true" outlineLevel="0" collapsed="false">
      <c r="A14" s="6"/>
      <c r="B14" s="10" t="n">
        <v>0.465</v>
      </c>
      <c r="C14" s="11" t="s">
        <v>13</v>
      </c>
      <c r="D14" s="11"/>
      <c r="E14" s="11"/>
      <c r="F14" s="11"/>
      <c r="G14" s="11"/>
    </row>
    <row r="15" customFormat="false" ht="19.85" hidden="false" customHeight="true" outlineLevel="0" collapsed="false">
      <c r="A15" s="6"/>
      <c r="B15" s="10" t="n">
        <v>0.464</v>
      </c>
      <c r="C15" s="11"/>
      <c r="D15" s="11"/>
      <c r="E15" s="11"/>
      <c r="F15" s="11"/>
      <c r="G15" s="11"/>
    </row>
    <row r="16" customFormat="false" ht="19.85" hidden="false" customHeight="true" outlineLevel="0" collapsed="false">
      <c r="A16" s="6"/>
      <c r="B16" s="10" t="n">
        <v>0.468</v>
      </c>
      <c r="C16" s="11"/>
      <c r="D16" s="11"/>
      <c r="E16" s="11"/>
      <c r="F16" s="11"/>
      <c r="G16" s="11"/>
    </row>
    <row r="17" customFormat="false" ht="19.85" hidden="false" customHeight="true" outlineLevel="0" collapsed="false">
      <c r="A17" s="6"/>
      <c r="B17" s="10" t="n">
        <v>0.47</v>
      </c>
      <c r="C17" s="11"/>
      <c r="D17" s="11"/>
      <c r="E17" s="11"/>
      <c r="F17" s="11"/>
      <c r="G17" s="11"/>
    </row>
    <row r="18" customFormat="false" ht="19.85" hidden="false" customHeight="true" outlineLevel="0" collapsed="false">
      <c r="A18" s="6"/>
      <c r="B18" s="10" t="n">
        <v>0.469</v>
      </c>
      <c r="C18" s="11"/>
      <c r="D18" s="11"/>
      <c r="E18" s="11"/>
      <c r="F18" s="11"/>
      <c r="G18" s="11"/>
    </row>
    <row r="19" customFormat="false" ht="19.85" hidden="false" customHeight="true" outlineLevel="0" collapsed="false">
      <c r="A19" s="6"/>
      <c r="B19" s="10" t="n">
        <v>0.464</v>
      </c>
      <c r="C19" s="11"/>
      <c r="D19" s="11"/>
      <c r="E19" s="11"/>
      <c r="F19" s="11"/>
      <c r="G19" s="11"/>
    </row>
    <row r="20" customFormat="false" ht="19.85" hidden="false" customHeight="true" outlineLevel="0" collapsed="false">
      <c r="A20" s="6"/>
      <c r="B20" s="10" t="n">
        <v>0.47</v>
      </c>
      <c r="C20" s="11"/>
      <c r="D20" s="11"/>
      <c r="E20" s="11"/>
      <c r="F20" s="11"/>
      <c r="G20" s="11"/>
    </row>
    <row r="21" customFormat="false" ht="19.85" hidden="false" customHeight="true" outlineLevel="0" collapsed="false">
      <c r="A21" s="6"/>
      <c r="B21" s="10" t="n">
        <v>0.468</v>
      </c>
      <c r="C21" s="11"/>
      <c r="D21" s="11"/>
      <c r="E21" s="11"/>
      <c r="F21" s="11"/>
      <c r="G21" s="11"/>
    </row>
    <row r="22" customFormat="false" ht="19.85" hidden="false" customHeight="true" outlineLevel="0" collapsed="false">
      <c r="A22" s="6"/>
      <c r="B22" s="10" t="n">
        <v>0.468</v>
      </c>
      <c r="C22" s="11"/>
      <c r="D22" s="11"/>
      <c r="E22" s="11"/>
      <c r="F22" s="11"/>
      <c r="G22" s="11"/>
    </row>
    <row r="23" customFormat="false" ht="22.7" hidden="false" customHeight="true" outlineLevel="0" collapsed="false">
      <c r="A23" s="2" t="s">
        <v>14</v>
      </c>
      <c r="B23" s="12" t="n">
        <f aca="false">AVERAGE(B8:B22)</f>
        <v>0.467</v>
      </c>
      <c r="C23" s="12" t="n">
        <f aca="false">AVERAGE(C8:C13)</f>
        <v>0.678833333333333</v>
      </c>
      <c r="D23" s="12" t="n">
        <f aca="false">AVERAGE(D8:D13)</f>
        <v>1.01933333333333</v>
      </c>
      <c r="E23" s="12" t="n">
        <f aca="false">AVERAGE(E8:E13)</f>
        <v>1.50266666666667</v>
      </c>
      <c r="F23" s="12" t="n">
        <f aca="false">AVERAGE(F8:F13)</f>
        <v>2.4805</v>
      </c>
      <c r="G23" s="12" t="n">
        <f aca="false">AVERAGE(G8:G13)</f>
        <v>4.69383333333333</v>
      </c>
    </row>
    <row r="24" customFormat="false" ht="22.7" hidden="false" customHeight="true" outlineLevel="0" collapsed="false">
      <c r="A24" s="2" t="s">
        <v>15</v>
      </c>
      <c r="B24" s="13" t="n">
        <f aca="false">STDEV(B8:B22)</f>
        <v>0.00327326835353987</v>
      </c>
      <c r="C24" s="13" t="n">
        <f aca="false">STDEV(C8:C13)</f>
        <v>0.00213697605664328</v>
      </c>
      <c r="D24" s="13" t="n">
        <f aca="false">STDEV(D8:D13)</f>
        <v>0.00417931413830864</v>
      </c>
      <c r="E24" s="13" t="n">
        <f aca="false">STDEV(E8:E13)</f>
        <v>0.00136626010212793</v>
      </c>
      <c r="F24" s="13" t="n">
        <f aca="false">STDEV(F8:F13)</f>
        <v>0.00122474487139156</v>
      </c>
      <c r="G24" s="13" t="n">
        <f aca="false">STDEV(G8:G13)</f>
        <v>0.00365604522218559</v>
      </c>
    </row>
    <row r="25" customFormat="false" ht="22.7" hidden="false" customHeight="true" outlineLevel="0" collapsed="false">
      <c r="A25" s="2" t="s">
        <v>16</v>
      </c>
      <c r="B25" s="14" t="n">
        <f aca="false">B24/SQRT(15)</f>
        <v>0.000845154254728512</v>
      </c>
      <c r="C25" s="14" t="n">
        <f aca="false">C24/SQRT(6)</f>
        <v>0.000872416821886828</v>
      </c>
      <c r="D25" s="14" t="n">
        <f aca="false">D24/SQRT(6)</f>
        <v>0.00170619785227595</v>
      </c>
      <c r="E25" s="14" t="n">
        <f aca="false">E24/SQRT(6)</f>
        <v>0.000557773351022709</v>
      </c>
      <c r="F25" s="14" t="n">
        <f aca="false">F24/SQRT(6)</f>
        <v>0.000499999999999989</v>
      </c>
      <c r="G25" s="14" t="n">
        <f aca="false">G24/SQRT(6)</f>
        <v>0.00149257421181584</v>
      </c>
    </row>
    <row r="26" customFormat="false" ht="22.7" hidden="false" customHeight="true" outlineLevel="0" collapsed="false">
      <c r="A26" s="2"/>
      <c r="B26" s="3"/>
      <c r="C26" s="15"/>
      <c r="D26" s="15"/>
      <c r="E26" s="15"/>
      <c r="F26" s="15"/>
      <c r="G26" s="15"/>
    </row>
    <row r="27" customFormat="false" ht="22.7" hidden="false" customHeight="true" outlineLevel="0" collapsed="false">
      <c r="A27" s="2" t="s">
        <v>17</v>
      </c>
      <c r="B27" s="16" t="n">
        <v>0.001</v>
      </c>
      <c r="C27" s="16" t="n">
        <v>0.001</v>
      </c>
      <c r="D27" s="16" t="n">
        <v>0.001</v>
      </c>
      <c r="E27" s="16" t="n">
        <v>0.001</v>
      </c>
      <c r="F27" s="16" t="n">
        <v>0.001</v>
      </c>
      <c r="G27" s="16" t="n">
        <v>0.001</v>
      </c>
    </row>
    <row r="28" customFormat="false" ht="22.7" hidden="false" customHeight="true" outlineLevel="0" collapsed="false">
      <c r="A28" s="2" t="s">
        <v>18</v>
      </c>
      <c r="B28" s="17" t="n">
        <f aca="false">B27/2</f>
        <v>0.0005</v>
      </c>
      <c r="C28" s="17" t="n">
        <f aca="false">C27/2</f>
        <v>0.0005</v>
      </c>
      <c r="D28" s="17" t="n">
        <f aca="false">D27/2</f>
        <v>0.0005</v>
      </c>
      <c r="E28" s="17" t="n">
        <f aca="false">E27/2</f>
        <v>0.0005</v>
      </c>
      <c r="F28" s="17" t="n">
        <f aca="false">F27/2</f>
        <v>0.0005</v>
      </c>
      <c r="G28" s="17" t="n">
        <f aca="false">G27/2</f>
        <v>0.0005</v>
      </c>
    </row>
    <row r="29" customFormat="false" ht="22.7" hidden="false" customHeight="true" outlineLevel="0" collapsed="false">
      <c r="A29" s="2" t="s">
        <v>19</v>
      </c>
      <c r="B29" s="18" t="n">
        <f aca="false">B28/SQRT(3)</f>
        <v>0.000288675134594813</v>
      </c>
      <c r="C29" s="18" t="n">
        <f aca="false">C28/SQRT(3)</f>
        <v>0.000288675134594813</v>
      </c>
      <c r="D29" s="18" t="n">
        <f aca="false">D28/SQRT(3)</f>
        <v>0.000288675134594813</v>
      </c>
      <c r="E29" s="18" t="n">
        <f aca="false">E28/SQRT(3)</f>
        <v>0.000288675134594813</v>
      </c>
      <c r="F29" s="18" t="n">
        <f aca="false">F28/SQRT(3)</f>
        <v>0.000288675134594813</v>
      </c>
      <c r="G29" s="18" t="n">
        <f aca="false">G28/SQRT(3)</f>
        <v>0.000288675134594813</v>
      </c>
    </row>
    <row r="30" customFormat="false" ht="22.7" hidden="false" customHeight="true" outlineLevel="0" collapsed="false">
      <c r="A30" s="2"/>
      <c r="B30" s="16"/>
      <c r="C30" s="16"/>
      <c r="D30" s="16"/>
      <c r="E30" s="16"/>
      <c r="F30" s="16"/>
      <c r="G30" s="16"/>
    </row>
    <row r="31" customFormat="false" ht="22.7" hidden="false" customHeight="true" outlineLevel="0" collapsed="false">
      <c r="A31" s="2" t="s">
        <v>20</v>
      </c>
      <c r="B31" s="19"/>
      <c r="C31" s="18" t="n">
        <v>0.00043</v>
      </c>
      <c r="D31" s="18" t="n">
        <v>0.00093</v>
      </c>
      <c r="E31" s="18" t="n">
        <v>0.0026</v>
      </c>
      <c r="F31" s="18" t="n">
        <v>0.004</v>
      </c>
      <c r="G31" s="18" t="n">
        <v>0.0072</v>
      </c>
    </row>
    <row r="32" customFormat="false" ht="22.7" hidden="false" customHeight="true" outlineLevel="0" collapsed="false">
      <c r="A32" s="2"/>
      <c r="B32" s="16"/>
      <c r="C32" s="16"/>
      <c r="D32" s="16"/>
      <c r="E32" s="16"/>
      <c r="F32" s="16"/>
      <c r="G32" s="16"/>
    </row>
    <row r="33" customFormat="false" ht="22.7" hidden="false" customHeight="true" outlineLevel="0" collapsed="false">
      <c r="A33" s="20" t="s">
        <v>21</v>
      </c>
      <c r="B33" s="21" t="n">
        <f aca="false">SQRT(B25^2+B29^2)</f>
        <v>0.000893095206357665</v>
      </c>
      <c r="C33" s="22" t="n">
        <f aca="false">SQRT(C25^2+C29^2+C31^2)</f>
        <v>0.00101456613606233</v>
      </c>
      <c r="D33" s="22" t="n">
        <f aca="false">SQRT(D25^2+D29^2+D31^2)</f>
        <v>0.00196452142885854</v>
      </c>
      <c r="E33" s="22" t="n">
        <f aca="false">SQRT(E25^2+E29^2+E31^2)</f>
        <v>0.00267477932630795</v>
      </c>
      <c r="F33" s="22" t="n">
        <f aca="false">SQRT(F25^2+F29^2+F31^2)</f>
        <v>0.00404145188432738</v>
      </c>
      <c r="G33" s="22" t="n">
        <f aca="false">SQRT(G25^2+G29^2+G31^2)</f>
        <v>0.0073587438541582</v>
      </c>
    </row>
    <row r="34" customFormat="false" ht="22.7" hidden="false" customHeight="true" outlineLevel="0" collapsed="false">
      <c r="A34" s="23" t="s">
        <v>22</v>
      </c>
      <c r="B34" s="24" t="n">
        <f aca="false">B33*2</f>
        <v>0.00178619041271533</v>
      </c>
      <c r="C34" s="24" t="n">
        <f aca="false">C33*2</f>
        <v>0.00202913227212466</v>
      </c>
      <c r="D34" s="24" t="n">
        <f aca="false">D33*2</f>
        <v>0.00392904285771709</v>
      </c>
      <c r="E34" s="24" t="n">
        <f aca="false">E33*2</f>
        <v>0.00534955865261591</v>
      </c>
      <c r="F34" s="24" t="n">
        <f aca="false">F33*2</f>
        <v>0.00808290376865476</v>
      </c>
      <c r="G34" s="24" t="n">
        <f aca="false">G33*2</f>
        <v>0.0147174877083164</v>
      </c>
    </row>
    <row r="35" customFormat="false" ht="22.7" hidden="false" customHeight="true" outlineLevel="0" collapsed="false">
      <c r="A35" s="2"/>
      <c r="B35" s="25"/>
      <c r="C35" s="25"/>
      <c r="D35" s="25"/>
      <c r="E35" s="25"/>
      <c r="F35" s="25"/>
      <c r="G35" s="25"/>
    </row>
    <row r="36" customFormat="false" ht="18" hidden="false" customHeight="false" outlineLevel="0" collapsed="false">
      <c r="A36" s="26" t="s">
        <v>23</v>
      </c>
      <c r="B36" s="27"/>
      <c r="C36" s="28" t="n">
        <f aca="false">C23-$B$23</f>
        <v>0.211833333333333</v>
      </c>
      <c r="D36" s="28" t="n">
        <f aca="false">D23-$B$23</f>
        <v>0.552333333333333</v>
      </c>
      <c r="E36" s="28" t="n">
        <f aca="false">E23-$B$23</f>
        <v>1.03566666666667</v>
      </c>
      <c r="F36" s="28" t="n">
        <f aca="false">F23-$B$23</f>
        <v>2.0135</v>
      </c>
      <c r="G36" s="28" t="n">
        <f aca="false">G23-$B$23</f>
        <v>4.22683333333333</v>
      </c>
    </row>
    <row r="37" customFormat="false" ht="18" hidden="false" customHeight="false" outlineLevel="0" collapsed="false">
      <c r="A37" s="26" t="s">
        <v>24</v>
      </c>
      <c r="B37" s="29"/>
      <c r="C37" s="30" t="n">
        <v>0.2143</v>
      </c>
      <c r="D37" s="30" t="n">
        <v>0.5539</v>
      </c>
      <c r="E37" s="30" t="n">
        <v>1.017</v>
      </c>
      <c r="F37" s="30" t="n">
        <v>1.992</v>
      </c>
      <c r="G37" s="30" t="n">
        <v>4.216</v>
      </c>
    </row>
    <row r="38" customFormat="false" ht="17.35" hidden="false" customHeight="false" outlineLevel="0" collapsed="false">
      <c r="A38" s="26" t="s">
        <v>25</v>
      </c>
      <c r="B38" s="29"/>
      <c r="C38" s="31" t="n">
        <f aca="false">ABS(C37-C36)</f>
        <v>0.00246666666666662</v>
      </c>
      <c r="D38" s="31" t="n">
        <f aca="false">ABS(D37-D36)</f>
        <v>0.00156666666666683</v>
      </c>
      <c r="E38" s="31" t="n">
        <f aca="false">ABS(E37-E36)</f>
        <v>0.0186666666666666</v>
      </c>
      <c r="F38" s="31" t="n">
        <f aca="false">ABS(F37-F36)</f>
        <v>0.0214999999999996</v>
      </c>
      <c r="G38" s="31" t="n">
        <f aca="false">ABS(G37-G36)</f>
        <v>0.0108333333333333</v>
      </c>
    </row>
    <row r="39" customFormat="false" ht="17.35" hidden="false" customHeight="false" outlineLevel="0" collapsed="false">
      <c r="A39" s="2" t="s">
        <v>26</v>
      </c>
      <c r="B39" s="32" t="n">
        <f aca="false">B36*$C$4/100+$D$4*B27+$E$4</f>
        <v>0.03</v>
      </c>
      <c r="C39" s="32" t="n">
        <f aca="false">C36*$C$4/100+$D$4*C27+$E$4</f>
        <v>0.0405916666666667</v>
      </c>
      <c r="D39" s="32" t="n">
        <f aca="false">D36*$C$4/100+$D$4*D27+$E$4</f>
        <v>0.0576166666666667</v>
      </c>
      <c r="E39" s="32" t="n">
        <f aca="false">E36*$C$4/100+$D$4*E27+$E$4</f>
        <v>0.0817833333333333</v>
      </c>
      <c r="F39" s="32" t="n">
        <f aca="false">F36*$C$4/100+$D$4*F27+$E$4</f>
        <v>0.130675</v>
      </c>
      <c r="G39" s="32" t="n">
        <f aca="false">G36*$C$4/100+$D$4*G27+$E$4</f>
        <v>0.241341666666667</v>
      </c>
    </row>
    <row r="40" customFormat="false" ht="39.8" hidden="false" customHeight="true" outlineLevel="0" collapsed="false">
      <c r="A40" s="33" t="s">
        <v>27</v>
      </c>
      <c r="B40" s="34"/>
      <c r="C40" s="35" t="str">
        <f aca="false">IF(C38+C34&lt;=C39,"OK","ŹLE")</f>
        <v>OK</v>
      </c>
      <c r="D40" s="35" t="str">
        <f aca="false">IF(D38+D34&lt;=D39,"OK","ŹLE")</f>
        <v>OK</v>
      </c>
      <c r="E40" s="35" t="str">
        <f aca="false">IF(E38+E34&lt;=E39,"OK","ŹLE")</f>
        <v>OK</v>
      </c>
      <c r="F40" s="35" t="str">
        <f aca="false">IF(F38+F34&lt;=F39,"OK","ŹLE")</f>
        <v>OK</v>
      </c>
      <c r="G40" s="35" t="str">
        <f aca="false">IF((G38+G34)&lt;=G39,"OK","ŹLE")</f>
        <v>OK</v>
      </c>
    </row>
    <row r="41" customFormat="false" ht="104.45" hidden="false" customHeight="true" outlineLevel="0" collapsed="false">
      <c r="A41" s="36" t="s">
        <v>28</v>
      </c>
      <c r="B41" s="37" t="n">
        <f aca="false">B25/B23</f>
        <v>0.00180975215145292</v>
      </c>
      <c r="C41" s="38" t="str">
        <f aca="false">IF(B41&lt;0.005,"SIEĆ STABILNA","SIEĆ NIESTABILNA - ROZWAŻ PONOWNY POMIAR Zo")</f>
        <v>SIEĆ STABILNA</v>
      </c>
      <c r="D41" s="39" t="s">
        <v>29</v>
      </c>
      <c r="E41" s="40" t="str">
        <f aca="false">IF(((C38+C34)&lt;=C39)*((D38+D34)&lt;=D39)*((E38+E34)&lt;=E39)*((F38+F34)&lt;=F39)*((G38+G34)&lt;=G39)*(B42&lt;0.5), "MIERNIK DZIAŁA POPRAWNIE", "MIERNIK DZIAŁA NIEPOPRAWNIE")</f>
        <v>MIERNIK DZIAŁA POPRAWNIE</v>
      </c>
      <c r="F41" s="40"/>
      <c r="G41" s="40"/>
    </row>
    <row r="42" customFormat="false" ht="17.35" hidden="false" customHeight="false" outlineLevel="0" collapsed="false">
      <c r="A42" s="36"/>
      <c r="B42" s="37"/>
      <c r="C42" s="37"/>
      <c r="D42" s="37"/>
      <c r="E42" s="37"/>
      <c r="F42" s="40"/>
      <c r="G42" s="40"/>
    </row>
    <row r="43" customFormat="false" ht="17.35" hidden="false" customHeight="false" outlineLevel="0" collapsed="false">
      <c r="A43" s="36"/>
      <c r="B43" s="37"/>
      <c r="C43" s="37"/>
      <c r="D43" s="37"/>
      <c r="E43" s="37"/>
      <c r="F43" s="40"/>
      <c r="G43" s="40"/>
    </row>
    <row r="44" customFormat="false" ht="17.35" hidden="false" customHeight="false" outlineLevel="0" collapsed="false">
      <c r="A44" s="36"/>
      <c r="B44" s="37"/>
      <c r="C44" s="37"/>
      <c r="D44" s="37"/>
      <c r="E44" s="37"/>
      <c r="F44" s="40"/>
      <c r="G44" s="40"/>
    </row>
    <row r="45" customFormat="false" ht="17.35" hidden="false" customHeight="false" outlineLevel="0" collapsed="false">
      <c r="A45" s="36"/>
      <c r="B45" s="37"/>
      <c r="C45" s="37"/>
      <c r="D45" s="37"/>
      <c r="E45" s="37"/>
      <c r="F45" s="40"/>
      <c r="G45" s="40"/>
    </row>
    <row r="46" customFormat="false" ht="17.35" hidden="true" customHeight="false" outlineLevel="0" collapsed="false">
      <c r="A46" s="36"/>
      <c r="B46" s="37"/>
      <c r="C46" s="37"/>
      <c r="D46" s="37"/>
      <c r="E46" s="37"/>
      <c r="F46" s="40"/>
      <c r="G46" s="40"/>
    </row>
    <row r="47" customFormat="false" ht="17.35" hidden="true" customHeight="false" outlineLevel="0" collapsed="false">
      <c r="A47" s="36"/>
      <c r="B47" s="37"/>
      <c r="C47" s="37"/>
      <c r="D47" s="37"/>
      <c r="E47" s="37"/>
      <c r="F47" s="40"/>
      <c r="G47" s="40"/>
    </row>
    <row r="48" customFormat="false" ht="17.35" hidden="true" customHeight="false" outlineLevel="0" collapsed="false">
      <c r="A48" s="36"/>
      <c r="B48" s="37"/>
      <c r="C48" s="37"/>
      <c r="D48" s="37"/>
      <c r="E48" s="37"/>
      <c r="F48" s="40"/>
      <c r="G48" s="40"/>
    </row>
    <row r="49" customFormat="false" ht="17.35" hidden="true" customHeight="false" outlineLevel="0" collapsed="false">
      <c r="A49" s="36"/>
      <c r="B49" s="37"/>
      <c r="C49" s="37"/>
      <c r="D49" s="37"/>
      <c r="E49" s="37"/>
      <c r="F49" s="40"/>
      <c r="G49" s="40"/>
    </row>
    <row r="50" customFormat="false" ht="14.15" hidden="true" customHeight="true" outlineLevel="0" collapsed="false">
      <c r="A50" s="36"/>
      <c r="B50" s="37"/>
      <c r="C50" s="37"/>
      <c r="D50" s="37"/>
      <c r="E50" s="37"/>
      <c r="F50" s="40"/>
      <c r="G50" s="40"/>
    </row>
  </sheetData>
  <mergeCells count="12">
    <mergeCell ref="A1:G2"/>
    <mergeCell ref="A3:A5"/>
    <mergeCell ref="B3:B5"/>
    <mergeCell ref="F3:G5"/>
    <mergeCell ref="C5:E5"/>
    <mergeCell ref="A6:A22"/>
    <mergeCell ref="C14:G22"/>
    <mergeCell ref="A41:A50"/>
    <mergeCell ref="B41:B50"/>
    <mergeCell ref="C41:C50"/>
    <mergeCell ref="D41:D50"/>
    <mergeCell ref="E41:G50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2025-12-16T20:19:29Z</dcterms:created>
  <dc:creator/>
  <dc:description/>
  <dc:language>pl-PL</dc:language>
  <cp:lastModifiedBy/>
  <dcterms:modified xsi:type="dcterms:W3CDTF">2025-12-27T17:29:26Z</dcterms:modified>
  <cp:revision>38</cp:revision>
  <dc:subject/>
  <dc:title/>
</cp:coreProperties>
</file>