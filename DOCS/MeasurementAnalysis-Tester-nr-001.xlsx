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kusz1" sheetId="1" state="visible" r:id="rId3"/>
    <sheet name="Arkusz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<sst xmlns="http://schemas.openxmlformats.org/spreadsheetml/2006/main" count="57" uniqueCount="39">
  <si>
    <r>
      <rPr>
        <sz val="14"/>
        <rFont val="Arial"/>
        <family val="2"/>
        <charset val="238"/>
      </rPr>
      <t xml:space="preserve">SPRAWDZENIE MIERNIKA IMPEDANCJI PĘTLI ZWARCIA POPRZEZ POMIAR Z</t>
    </r>
    <r>
      <rPr>
        <vertAlign val="subscript"/>
        <sz val="14"/>
        <rFont val="Arial"/>
        <family val="2"/>
        <charset val="238"/>
      </rPr>
      <t xml:space="preserve">0</t>
    </r>
    <r>
      <rPr>
        <sz val="14"/>
        <rFont val="Arial"/>
        <family val="2"/>
        <charset val="238"/>
      </rPr>
      <t xml:space="preserve"> i (R</t>
    </r>
    <r>
      <rPr>
        <vertAlign val="subscript"/>
        <sz val="14"/>
        <rFont val="Arial"/>
        <family val="2"/>
        <charset val="238"/>
      </rPr>
      <t xml:space="preserve">S</t>
    </r>
    <r>
      <rPr>
        <sz val="14"/>
        <rFont val="Arial"/>
        <family val="2"/>
        <charset val="238"/>
      </rPr>
      <t xml:space="preserve"> +  Z</t>
    </r>
    <r>
      <rPr>
        <vertAlign val="subscript"/>
        <sz val="14"/>
        <rFont val="Arial"/>
        <family val="2"/>
        <charset val="238"/>
      </rPr>
      <t xml:space="preserve">0</t>
    </r>
    <r>
      <rPr>
        <sz val="14"/>
        <rFont val="Arial"/>
        <family val="2"/>
        <charset val="238"/>
      </rPr>
      <t xml:space="preserve">) – miernik XXXXXXXX</t>
    </r>
  </si>
  <si>
    <r>
      <rPr>
        <sz val="20"/>
        <rFont val="Tahoma"/>
        <family val="2"/>
        <charset val="238"/>
      </rPr>
      <t xml:space="preserve">Z</t>
    </r>
    <r>
      <rPr>
        <vertAlign val="subscript"/>
        <sz val="20"/>
        <rFont val="Tahoma"/>
        <family val="2"/>
        <charset val="238"/>
      </rPr>
      <t xml:space="preserve">0</t>
    </r>
  </si>
  <si>
    <r>
      <rPr>
        <sz val="20"/>
        <rFont val="Tahoma"/>
        <family val="1"/>
        <charset val="238"/>
      </rPr>
      <t xml:space="preserve">R</t>
    </r>
    <r>
      <rPr>
        <vertAlign val="subscript"/>
        <sz val="20"/>
        <rFont val="Tahoma"/>
        <family val="1"/>
        <charset val="238"/>
      </rPr>
      <t xml:space="preserve">S1</t>
    </r>
    <r>
      <rPr>
        <sz val="20"/>
        <rFont val="Tahoma"/>
        <family val="1"/>
        <charset val="238"/>
      </rPr>
      <t xml:space="preserve">+  </t>
    </r>
    <r>
      <rPr>
        <sz val="20"/>
        <rFont val="Tahoma"/>
        <family val="2"/>
        <charset val="238"/>
      </rPr>
      <t xml:space="preserve">Z</t>
    </r>
    <r>
      <rPr>
        <vertAlign val="subscript"/>
        <sz val="20"/>
        <rFont val="Tahoma"/>
        <family val="2"/>
        <charset val="238"/>
      </rPr>
      <t xml:space="preserve">0</t>
    </r>
  </si>
  <si>
    <r>
      <rPr>
        <sz val="20"/>
        <rFont val="Tahoma"/>
        <family val="1"/>
        <charset val="238"/>
      </rPr>
      <t xml:space="preserve">R</t>
    </r>
    <r>
      <rPr>
        <vertAlign val="subscript"/>
        <sz val="20"/>
        <rFont val="Tahoma"/>
        <family val="1"/>
        <charset val="238"/>
      </rPr>
      <t xml:space="preserve">S2</t>
    </r>
    <r>
      <rPr>
        <sz val="20"/>
        <rFont val="Tahoma"/>
        <family val="1"/>
        <charset val="238"/>
      </rPr>
      <t xml:space="preserve"> +  </t>
    </r>
    <r>
      <rPr>
        <sz val="20"/>
        <rFont val="Tahoma"/>
        <family val="2"/>
        <charset val="238"/>
      </rPr>
      <t xml:space="preserve">Z</t>
    </r>
    <r>
      <rPr>
        <vertAlign val="subscript"/>
        <sz val="20"/>
        <rFont val="Tahoma"/>
        <family val="2"/>
        <charset val="238"/>
      </rPr>
      <t xml:space="preserve">0</t>
    </r>
  </si>
  <si>
    <r>
      <rPr>
        <sz val="20"/>
        <rFont val="Tahoma"/>
        <family val="1"/>
        <charset val="238"/>
      </rPr>
      <t xml:space="preserve">R</t>
    </r>
    <r>
      <rPr>
        <vertAlign val="subscript"/>
        <sz val="20"/>
        <rFont val="Tahoma"/>
        <family val="1"/>
        <charset val="238"/>
      </rPr>
      <t xml:space="preserve">S3</t>
    </r>
    <r>
      <rPr>
        <sz val="20"/>
        <rFont val="Tahoma"/>
        <family val="1"/>
        <charset val="238"/>
      </rPr>
      <t xml:space="preserve"> +  </t>
    </r>
    <r>
      <rPr>
        <sz val="20"/>
        <rFont val="Tahoma"/>
        <family val="2"/>
        <charset val="238"/>
      </rPr>
      <t xml:space="preserve">Z</t>
    </r>
    <r>
      <rPr>
        <vertAlign val="subscript"/>
        <sz val="20"/>
        <rFont val="Tahoma"/>
        <family val="2"/>
        <charset val="238"/>
      </rPr>
      <t xml:space="preserve">0</t>
    </r>
  </si>
  <si>
    <r>
      <rPr>
        <sz val="20"/>
        <rFont val="Tahoma"/>
        <family val="1"/>
        <charset val="238"/>
      </rPr>
      <t xml:space="preserve">R</t>
    </r>
    <r>
      <rPr>
        <vertAlign val="subscript"/>
        <sz val="20"/>
        <rFont val="Tahoma"/>
        <family val="1"/>
        <charset val="238"/>
      </rPr>
      <t xml:space="preserve">S4</t>
    </r>
    <r>
      <rPr>
        <sz val="20"/>
        <rFont val="Tahoma"/>
        <family val="1"/>
        <charset val="238"/>
      </rPr>
      <t xml:space="preserve"> +  </t>
    </r>
    <r>
      <rPr>
        <sz val="20"/>
        <rFont val="Tahoma"/>
        <family val="2"/>
        <charset val="238"/>
      </rPr>
      <t xml:space="preserve">Z</t>
    </r>
    <r>
      <rPr>
        <vertAlign val="subscript"/>
        <sz val="20"/>
        <rFont val="Tahoma"/>
        <family val="2"/>
        <charset val="238"/>
      </rPr>
      <t xml:space="preserve">0</t>
    </r>
  </si>
  <si>
    <r>
      <rPr>
        <sz val="20"/>
        <rFont val="Tahoma"/>
        <family val="1"/>
        <charset val="238"/>
      </rPr>
      <t xml:space="preserve">R</t>
    </r>
    <r>
      <rPr>
        <vertAlign val="subscript"/>
        <sz val="20"/>
        <rFont val="Tahoma"/>
        <family val="1"/>
        <charset val="238"/>
      </rPr>
      <t xml:space="preserve">S5</t>
    </r>
    <r>
      <rPr>
        <sz val="20"/>
        <rFont val="Tahoma"/>
        <family val="1"/>
        <charset val="238"/>
      </rPr>
      <t xml:space="preserve"> +  </t>
    </r>
    <r>
      <rPr>
        <sz val="20"/>
        <rFont val="Tahoma"/>
        <family val="2"/>
        <charset val="238"/>
      </rPr>
      <t xml:space="preserve">Z</t>
    </r>
    <r>
      <rPr>
        <vertAlign val="subscript"/>
        <sz val="20"/>
        <rFont val="Tahoma"/>
        <family val="2"/>
        <charset val="238"/>
      </rPr>
      <t xml:space="preserve">0</t>
    </r>
  </si>
  <si>
    <t xml:space="preserve">UWAGI</t>
  </si>
  <si>
    <t xml:space="preserve">Ω</t>
  </si>
  <si>
    <t xml:space="preserve">średnia</t>
  </si>
  <si>
    <t xml:space="preserve">OBLICZENIA</t>
  </si>
  <si>
    <t xml:space="preserve">odchylenie standardowe</t>
  </si>
  <si>
    <t xml:space="preserve">niepewność serii pomiarów</t>
  </si>
  <si>
    <t xml:space="preserve">rozdzielczość</t>
  </si>
  <si>
    <t xml:space="preserve">błąd rozdzielczości</t>
  </si>
  <si>
    <t xml:space="preserve">niepewność związana z rozdzielczością</t>
  </si>
  <si>
    <r>
      <rPr>
        <sz val="14"/>
        <rFont val="Arial CE"/>
        <family val="2"/>
        <charset val="238"/>
      </rPr>
      <t xml:space="preserve">niepewność związana z błędem wzorca R</t>
    </r>
    <r>
      <rPr>
        <vertAlign val="subscript"/>
        <sz val="14"/>
        <rFont val="Arial CE"/>
        <family val="2"/>
        <charset val="238"/>
      </rPr>
      <t xml:space="preserve">sn</t>
    </r>
  </si>
  <si>
    <t xml:space="preserve">niepewność procedury sprawdzenia (standardowa k=1)</t>
  </si>
  <si>
    <t xml:space="preserve">niepewność procedury sprawdzenia (rozszerzona k=2)</t>
  </si>
  <si>
    <r>
      <rPr>
        <sz val="14"/>
        <rFont val="Arial"/>
        <family val="2"/>
        <charset val="238"/>
      </rPr>
      <t xml:space="preserve">wartości </t>
    </r>
    <r>
      <rPr>
        <sz val="14"/>
        <rFont val="Tahoma"/>
        <family val="1"/>
        <charset val="238"/>
      </rPr>
      <t xml:space="preserve">R</t>
    </r>
    <r>
      <rPr>
        <vertAlign val="subscript"/>
        <sz val="14"/>
        <rFont val="Tahoma"/>
        <family val="1"/>
        <charset val="238"/>
      </rPr>
      <t xml:space="preserve">sn</t>
    </r>
    <r>
      <rPr>
        <sz val="14"/>
        <rFont val="Tahoma"/>
        <family val="1"/>
        <charset val="238"/>
      </rPr>
      <t xml:space="preserve"> zmierzona</t>
    </r>
  </si>
  <si>
    <r>
      <rPr>
        <sz val="14"/>
        <rFont val="Arial"/>
        <family val="2"/>
        <charset val="238"/>
      </rPr>
      <t xml:space="preserve">wartości </t>
    </r>
    <r>
      <rPr>
        <sz val="14"/>
        <rFont val="Tahoma"/>
        <family val="1"/>
        <charset val="238"/>
      </rPr>
      <t xml:space="preserve">R</t>
    </r>
    <r>
      <rPr>
        <vertAlign val="subscript"/>
        <sz val="14"/>
        <rFont val="Tahoma"/>
        <family val="1"/>
        <charset val="238"/>
      </rPr>
      <t xml:space="preserve">sn</t>
    </r>
    <r>
      <rPr>
        <sz val="14"/>
        <rFont val="Tahoma"/>
        <family val="1"/>
        <charset val="238"/>
      </rPr>
      <t xml:space="preserve"> rzeczywista</t>
    </r>
  </si>
  <si>
    <t xml:space="preserve">| błąd |</t>
  </si>
  <si>
    <t xml:space="preserve">max. błąd miernika</t>
  </si>
  <si>
    <t xml:space="preserve">ocena:| błąd | + niepewność procedury sprawdzenia rozszerzona &lt;= max. błąd miernika</t>
  </si>
  <si>
    <r>
      <rPr>
        <sz val="14"/>
        <rFont val="Arial CE"/>
        <family val="2"/>
        <charset val="238"/>
      </rPr>
      <t xml:space="preserve">stabilność sieci = </t>
    </r>
    <r>
      <rPr>
        <sz val="12"/>
        <rFont val="Arial CE"/>
        <family val="2"/>
        <charset val="238"/>
      </rPr>
      <t xml:space="preserve">niepewność serii pomiarów /  Z</t>
    </r>
    <r>
      <rPr>
        <vertAlign val="subscript"/>
        <sz val="12"/>
        <rFont val="Arial CE"/>
        <family val="2"/>
        <charset val="238"/>
      </rPr>
      <t xml:space="preserve">0</t>
    </r>
    <r>
      <rPr>
        <sz val="12"/>
        <rFont val="Arial CE"/>
        <family val="2"/>
        <charset val="238"/>
      </rPr>
      <t xml:space="preserve"> * 100%
</t>
    </r>
    <r>
      <rPr>
        <sz val="14"/>
        <rFont val="Arial CE"/>
        <family val="2"/>
        <charset val="238"/>
      </rPr>
      <t xml:space="preserve">
</t>
    </r>
    <r>
      <rPr>
        <sz val="10"/>
        <rFont val="Arial CE"/>
        <family val="2"/>
        <charset val="238"/>
      </rPr>
      <t xml:space="preserve">≤ 0,2%      sieć bardzo stabilna idealne warunki pomiarowe
0,2–0,5%  sieć stabilna zmienność pomijalna
0,5–1,0%  sieć umiarkowanie stabilna widoczna zmienność
1,0–2,0%  sieć niestabilna zalecane zwiększenie liczby pomiarów
&gt; 2,0%      sieć bardzo niestabilna wyniki mogą być niewiarygodne
</t>
    </r>
  </si>
  <si>
    <t xml:space="preserve">OCENA KOŃCOWA</t>
  </si>
  <si>
    <r>
      <rPr>
        <sz val="14"/>
        <rFont val="Tahoma"/>
        <family val="2"/>
        <charset val="1"/>
      </rPr>
      <t xml:space="preserve">'-max. błąd miernika należy odczytać z dokumentacji i odnieść go do wartości obliczonej</t>
    </r>
    <r>
      <rPr>
        <sz val="18"/>
        <rFont val="Arial"/>
        <family val="2"/>
        <charset val="238"/>
      </rPr>
      <t xml:space="preserve"> </t>
    </r>
    <r>
      <rPr>
        <sz val="26"/>
        <rFont val="Tahoma"/>
        <family val="1"/>
        <charset val="238"/>
      </rPr>
      <t xml:space="preserve">R</t>
    </r>
    <r>
      <rPr>
        <vertAlign val="subscript"/>
        <sz val="26"/>
        <rFont val="Tahoma"/>
        <family val="1"/>
        <charset val="238"/>
      </rPr>
      <t xml:space="preserve">sn
</t>
    </r>
    <r>
      <rPr>
        <sz val="14"/>
        <rFont val="Tahoma"/>
        <family val="2"/>
        <charset val="1"/>
      </rPr>
      <t xml:space="preserve">-wszystkie wartości bez podanej jednostki wyrażone w Ω
</t>
    </r>
  </si>
  <si>
    <t xml:space="preserve">% wartości zmierzonej</t>
  </si>
  <si>
    <t xml:space="preserve">ilość cyfr</t>
  </si>
  <si>
    <t xml:space="preserve">wartość stała</t>
  </si>
  <si>
    <t xml:space="preserve">rozdzielczość miernika</t>
  </si>
  <si>
    <t xml:space="preserve">max dopuszczalny błąd miernika według dokumentacji producenta dla poszczególnych punktów pomiarowych</t>
  </si>
  <si>
    <r>
      <rPr>
        <sz val="16"/>
        <rFont val="Tahoma"/>
        <family val="1"/>
        <charset val="238"/>
      </rPr>
      <t xml:space="preserve">R</t>
    </r>
    <r>
      <rPr>
        <vertAlign val="subscript"/>
        <sz val="16"/>
        <rFont val="Tahoma"/>
        <family val="1"/>
        <charset val="238"/>
      </rPr>
      <t xml:space="preserve">S1 </t>
    </r>
    <r>
      <rPr>
        <sz val="16"/>
        <rFont val="Tahoma"/>
        <family val="1"/>
        <charset val="238"/>
      </rPr>
      <t xml:space="preserve">+  </t>
    </r>
    <r>
      <rPr>
        <sz val="16"/>
        <rFont val="Tahoma"/>
        <family val="2"/>
        <charset val="238"/>
      </rPr>
      <t xml:space="preserve">Z</t>
    </r>
    <r>
      <rPr>
        <vertAlign val="subscript"/>
        <sz val="16"/>
        <rFont val="Tahoma"/>
        <family val="2"/>
        <charset val="238"/>
      </rPr>
      <t xml:space="preserve">0</t>
    </r>
  </si>
  <si>
    <r>
      <rPr>
        <sz val="16"/>
        <rFont val="Tahoma"/>
        <family val="1"/>
        <charset val="238"/>
      </rPr>
      <t xml:space="preserve">R</t>
    </r>
    <r>
      <rPr>
        <vertAlign val="subscript"/>
        <sz val="16"/>
        <rFont val="Tahoma"/>
        <family val="1"/>
        <charset val="238"/>
      </rPr>
      <t xml:space="preserve">S2 </t>
    </r>
    <r>
      <rPr>
        <sz val="16"/>
        <rFont val="Tahoma"/>
        <family val="1"/>
        <charset val="238"/>
      </rPr>
      <t xml:space="preserve">+  </t>
    </r>
    <r>
      <rPr>
        <sz val="16"/>
        <rFont val="Tahoma"/>
        <family val="2"/>
        <charset val="238"/>
      </rPr>
      <t xml:space="preserve">Z</t>
    </r>
    <r>
      <rPr>
        <vertAlign val="subscript"/>
        <sz val="16"/>
        <rFont val="Tahoma"/>
        <family val="2"/>
        <charset val="238"/>
      </rPr>
      <t xml:space="preserve">0</t>
    </r>
  </si>
  <si>
    <r>
      <rPr>
        <sz val="16"/>
        <rFont val="Tahoma"/>
        <family val="1"/>
        <charset val="238"/>
      </rPr>
      <t xml:space="preserve">R</t>
    </r>
    <r>
      <rPr>
        <vertAlign val="subscript"/>
        <sz val="16"/>
        <rFont val="Tahoma"/>
        <family val="1"/>
        <charset val="238"/>
      </rPr>
      <t xml:space="preserve">S3 </t>
    </r>
    <r>
      <rPr>
        <sz val="16"/>
        <rFont val="Tahoma"/>
        <family val="1"/>
        <charset val="238"/>
      </rPr>
      <t xml:space="preserve">+  </t>
    </r>
    <r>
      <rPr>
        <sz val="16"/>
        <rFont val="Tahoma"/>
        <family val="2"/>
        <charset val="238"/>
      </rPr>
      <t xml:space="preserve">Z</t>
    </r>
    <r>
      <rPr>
        <vertAlign val="subscript"/>
        <sz val="16"/>
        <rFont val="Tahoma"/>
        <family val="2"/>
        <charset val="238"/>
      </rPr>
      <t xml:space="preserve">0</t>
    </r>
  </si>
  <si>
    <r>
      <rPr>
        <sz val="16"/>
        <rFont val="Tahoma"/>
        <family val="1"/>
        <charset val="238"/>
      </rPr>
      <t xml:space="preserve">R</t>
    </r>
    <r>
      <rPr>
        <vertAlign val="subscript"/>
        <sz val="16"/>
        <rFont val="Tahoma"/>
        <family val="1"/>
        <charset val="238"/>
      </rPr>
      <t xml:space="preserve">S4 </t>
    </r>
    <r>
      <rPr>
        <sz val="16"/>
        <rFont val="Tahoma"/>
        <family val="1"/>
        <charset val="238"/>
      </rPr>
      <t xml:space="preserve">+  </t>
    </r>
    <r>
      <rPr>
        <sz val="16"/>
        <rFont val="Tahoma"/>
        <family val="2"/>
        <charset val="238"/>
      </rPr>
      <t xml:space="preserve">Z</t>
    </r>
    <r>
      <rPr>
        <vertAlign val="subscript"/>
        <sz val="16"/>
        <rFont val="Tahoma"/>
        <family val="2"/>
        <charset val="238"/>
      </rPr>
      <t xml:space="preserve">0</t>
    </r>
  </si>
  <si>
    <r>
      <rPr>
        <sz val="16"/>
        <rFont val="Tahoma"/>
        <family val="1"/>
        <charset val="238"/>
      </rPr>
      <t xml:space="preserve">R</t>
    </r>
    <r>
      <rPr>
        <vertAlign val="subscript"/>
        <sz val="16"/>
        <rFont val="Tahoma"/>
        <family val="1"/>
        <charset val="238"/>
      </rPr>
      <t xml:space="preserve">S5 </t>
    </r>
    <r>
      <rPr>
        <sz val="16"/>
        <rFont val="Tahoma"/>
        <family val="1"/>
        <charset val="238"/>
      </rPr>
      <t xml:space="preserve">+  </t>
    </r>
    <r>
      <rPr>
        <sz val="16"/>
        <rFont val="Tahoma"/>
        <family val="2"/>
        <charset val="238"/>
      </rPr>
      <t xml:space="preserve">Z</t>
    </r>
    <r>
      <rPr>
        <vertAlign val="subscript"/>
        <sz val="16"/>
        <rFont val="Tahoma"/>
        <family val="2"/>
        <charset val="238"/>
      </rPr>
      <t xml:space="preserve">0</t>
    </r>
  </si>
  <si>
    <t xml:space="preserve">POMIARY</t>
  </si>
  <si>
    <r>
      <rPr>
        <sz val="14"/>
        <rFont val="Tahoma"/>
        <family val="2"/>
        <charset val="1"/>
      </rPr>
      <t xml:space="preserve">UWAGA 
Jeśli zmieniono ilość pomiarów należy to uwzględnić to pozycji średnia i odchylenie standardowe. Należy również zmienić mianownik w pozycji niepewność serii pomiarów zmieniając liczbę pod pierwiastkiem na faktyczną ilość pomiarów obecnie 6 dla </t>
    </r>
    <r>
      <rPr>
        <sz val="18"/>
        <rFont val="Tahoma"/>
        <family val="2"/>
        <charset val="1"/>
      </rPr>
      <t xml:space="preserve">R</t>
    </r>
    <r>
      <rPr>
        <vertAlign val="subscript"/>
        <sz val="18"/>
        <rFont val="Tahoma"/>
        <family val="2"/>
        <charset val="1"/>
      </rPr>
      <t xml:space="preserve">S1</t>
    </r>
    <r>
      <rPr>
        <sz val="18"/>
        <rFont val="Tahoma"/>
        <family val="2"/>
        <charset val="1"/>
      </rPr>
      <t xml:space="preserve">+Z</t>
    </r>
    <r>
      <rPr>
        <vertAlign val="subscript"/>
        <sz val="18"/>
        <rFont val="Tahoma"/>
        <family val="2"/>
        <charset val="1"/>
      </rPr>
      <t xml:space="preserve">0</t>
    </r>
    <r>
      <rPr>
        <sz val="14"/>
        <rFont val="Tahoma"/>
        <family val="2"/>
        <charset val="1"/>
      </rPr>
      <t xml:space="preserve"> i 15 dla</t>
    </r>
    <r>
      <rPr>
        <sz val="12"/>
        <rFont val="Tahoma"/>
        <family val="2"/>
        <charset val="1"/>
      </rPr>
      <t xml:space="preserve"> </t>
    </r>
    <r>
      <rPr>
        <sz val="18"/>
        <rFont val="Tahoma"/>
        <family val="2"/>
        <charset val="238"/>
      </rPr>
      <t xml:space="preserve">Z</t>
    </r>
    <r>
      <rPr>
        <vertAlign val="subscript"/>
        <sz val="18"/>
        <rFont val="Tahoma"/>
        <family val="2"/>
        <charset val="238"/>
      </rPr>
      <t xml:space="preserve">0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</si>
</sst>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0"/>
    <numFmt numFmtId="166" formatCode="0.0000"/>
    <numFmt numFmtId="167" formatCode="0.00000"/>
    <numFmt numFmtId="168" formatCode="General"/>
    <numFmt numFmtId="169" formatCode="0.00%"/>
  </numFmts>
  <fonts count="39">
    <font>
      <sz val="10"/>
      <name val="Arial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4"/>
      <name val="Arial"/>
      <family val="2"/>
      <charset val="238"/>
    </font>
    <font>
      <vertAlign val="subscript"/>
      <sz val="14"/>
      <name val="Arial"/>
      <family val="2"/>
      <charset val="238"/>
    </font>
    <font>
      <sz val="20"/>
      <name val="Arial"/>
      <family val="2"/>
      <charset val="238"/>
    </font>
    <font>
      <sz val="20"/>
      <name val="Tahoma"/>
      <family val="2"/>
      <charset val="238"/>
    </font>
    <font>
      <vertAlign val="subscript"/>
      <sz val="20"/>
      <name val="Tahoma"/>
      <family val="2"/>
      <charset val="238"/>
    </font>
    <font>
      <sz val="20"/>
      <name val="Tahoma"/>
      <family val="1"/>
      <charset val="238"/>
    </font>
    <font>
      <vertAlign val="subscript"/>
      <sz val="20"/>
      <name val="Tahoma"/>
      <family val="1"/>
      <charset val="238"/>
    </font>
    <font>
      <sz val="12"/>
      <name val="Times New Roman"/>
      <family val="1"/>
      <charset val="238"/>
    </font>
    <font>
      <sz val="14"/>
      <name val="Arial CE"/>
      <family val="2"/>
      <charset val="238"/>
    </font>
    <font>
      <sz val="20"/>
      <name val="Tahoma"/>
      <family val="2"/>
      <charset val="1"/>
    </font>
    <font>
      <sz val="12"/>
      <name val="Arial"/>
      <family val="2"/>
      <charset val="238"/>
    </font>
    <font>
      <sz val="10"/>
      <name val="Tahoma"/>
      <family val="1"/>
      <charset val="238"/>
    </font>
    <font>
      <vertAlign val="subscript"/>
      <sz val="14"/>
      <name val="Arial CE"/>
      <family val="2"/>
      <charset val="238"/>
    </font>
    <font>
      <sz val="13"/>
      <name val="Arial CE"/>
      <family val="2"/>
      <charset val="238"/>
    </font>
    <font>
      <sz val="14"/>
      <name val="Tahoma"/>
      <family val="1"/>
      <charset val="238"/>
    </font>
    <font>
      <vertAlign val="subscript"/>
      <sz val="14"/>
      <name val="Tahoma"/>
      <family val="1"/>
      <charset val="238"/>
    </font>
    <font>
      <sz val="12"/>
      <name val="Arial CE"/>
      <family val="2"/>
      <charset val="238"/>
    </font>
    <font>
      <vertAlign val="subscript"/>
      <sz val="12"/>
      <name val="Arial CE"/>
      <family val="2"/>
      <charset val="238"/>
    </font>
    <font>
      <sz val="10"/>
      <name val="Arial CE"/>
      <family val="2"/>
      <charset val="238"/>
    </font>
    <font>
      <sz val="18"/>
      <name val="Arial"/>
      <family val="2"/>
      <charset val="238"/>
    </font>
    <font>
      <sz val="14"/>
      <name val="Tahoma"/>
      <family val="2"/>
      <charset val="1"/>
    </font>
    <font>
      <sz val="26"/>
      <name val="Tahoma"/>
      <family val="1"/>
      <charset val="238"/>
    </font>
    <font>
      <vertAlign val="subscript"/>
      <sz val="26"/>
      <name val="Tahoma"/>
      <family val="1"/>
      <charset val="238"/>
    </font>
    <font>
      <b val="true"/>
      <sz val="13"/>
      <name val="Arial"/>
      <family val="2"/>
      <charset val="238"/>
    </font>
    <font>
      <sz val="16"/>
      <name val="Tahoma"/>
      <family val="1"/>
      <charset val="238"/>
    </font>
    <font>
      <vertAlign val="subscript"/>
      <sz val="16"/>
      <name val="Tahoma"/>
      <family val="1"/>
      <charset val="238"/>
    </font>
    <font>
      <sz val="16"/>
      <name val="Tahoma"/>
      <family val="2"/>
      <charset val="238"/>
    </font>
    <font>
      <vertAlign val="subscript"/>
      <sz val="16"/>
      <name val="Tahoma"/>
      <family val="2"/>
      <charset val="238"/>
    </font>
    <font>
      <b val="true"/>
      <sz val="18"/>
      <name val="Tahoma"/>
      <family val="2"/>
      <charset val="1"/>
    </font>
    <font>
      <sz val="12"/>
      <name val="Tahoma"/>
      <family val="2"/>
      <charset val="1"/>
    </font>
    <font>
      <sz val="12"/>
      <name val="Tahoma"/>
      <family val="1"/>
      <charset val="238"/>
    </font>
    <font>
      <sz val="18"/>
      <name val="Tahoma"/>
      <family val="2"/>
      <charset val="1"/>
    </font>
    <font>
      <vertAlign val="subscript"/>
      <sz val="18"/>
      <name val="Tahoma"/>
      <family val="2"/>
      <charset val="1"/>
    </font>
    <font>
      <sz val="18"/>
      <name val="Tahoma"/>
      <family val="2"/>
      <charset val="238"/>
    </font>
    <font>
      <vertAlign val="subscript"/>
      <sz val="18"/>
      <name val="Tahoma"/>
      <family val="2"/>
      <charset val="238"/>
    </font>
  </fonts>
  <fills count="8">
    <fill>
      <patternFill patternType="none"/>
    </fill>
    <fill>
      <patternFill patternType="gray125"/>
    </fill>
    <fill>
      <patternFill patternType="solid">
        <fgColor rgb="FFE8F2A1"/>
        <bgColor rgb="FFFFFFCC"/>
      </patternFill>
    </fill>
    <fill>
      <patternFill patternType="solid">
        <fgColor rgb="FFB4C7DC"/>
        <bgColor rgb="FFCCCCFF"/>
      </patternFill>
    </fill>
    <fill>
      <patternFill patternType="solid">
        <fgColor rgb="FF729FCF"/>
        <bgColor rgb="FF969696"/>
      </patternFill>
    </fill>
    <fill>
      <patternFill patternType="solid">
        <fgColor rgb="FFFFDE59"/>
        <bgColor rgb="FFE8F2A1"/>
      </patternFill>
    </fill>
    <fill>
      <patternFill patternType="solid">
        <fgColor rgb="FFFF860D"/>
        <bgColor rgb="FFFF6600"/>
      </patternFill>
    </fill>
    <fill>
      <patternFill patternType="solid">
        <fgColor rgb="FFFFAA95"/>
        <bgColor rgb="FFFF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14" fillId="3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14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14" fillId="3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4" fillId="3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4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4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4" fillId="5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4" fillId="5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4" fillId="6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4" fillId="7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8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9" fontId="12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12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23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2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33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34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33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E8F2A1"/>
      <rgbColor rgb="FF99CCFF"/>
      <rgbColor rgb="FFFFAA95"/>
      <rgbColor rgb="FFCC99FF"/>
      <rgbColor rgb="FFFFDE59"/>
      <rgbColor rgb="FF3366FF"/>
      <rgbColor rgb="FF33CCCC"/>
      <rgbColor rgb="FF99CC00"/>
      <rgbColor rgb="FFFFCC00"/>
      <rgbColor rgb="FFFF860D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2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E37" activeCellId="0" sqref="E3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0.61"/>
    <col collapsed="false" customWidth="true" hidden="false" outlineLevel="0" max="2" min="2" style="1" width="22.81"/>
    <col collapsed="false" customWidth="true" hidden="false" outlineLevel="0" max="7" min="3" style="1" width="27.07"/>
    <col collapsed="false" customWidth="true" hidden="false" outlineLevel="0" max="8" min="8" style="0" width="57.13"/>
  </cols>
  <sheetData>
    <row r="1" customFormat="false" ht="12.8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2.8" hidden="false" customHeight="tru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26.55" hidden="false" customHeight="true" outlineLevel="0" collapsed="false">
      <c r="A3" s="3"/>
      <c r="B3" s="4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</row>
    <row r="4" customFormat="false" ht="26.55" hidden="false" customHeight="true" outlineLevel="0" collapsed="false">
      <c r="A4" s="3"/>
      <c r="B4" s="6" t="s">
        <v>8</v>
      </c>
      <c r="C4" s="6" t="s">
        <v>8</v>
      </c>
      <c r="D4" s="6" t="s">
        <v>8</v>
      </c>
      <c r="E4" s="6" t="s">
        <v>8</v>
      </c>
      <c r="F4" s="6" t="s">
        <v>8</v>
      </c>
      <c r="G4" s="6" t="s">
        <v>8</v>
      </c>
      <c r="H4" s="7"/>
    </row>
    <row r="5" customFormat="false" ht="22.7" hidden="false" customHeight="true" outlineLevel="0" collapsed="false">
      <c r="A5" s="8" t="s">
        <v>9</v>
      </c>
      <c r="B5" s="9" t="n">
        <f aca="false">AVERAGE(B48:B62)</f>
        <v>0.4672</v>
      </c>
      <c r="C5" s="9" t="n">
        <f aca="false">AVERAGE(C48:C53)</f>
        <v>0.678833333333333</v>
      </c>
      <c r="D5" s="9" t="n">
        <f aca="false">AVERAGE(D48:D53)</f>
        <v>1.01933333333333</v>
      </c>
      <c r="E5" s="9" t="n">
        <f aca="false">AVERAGE(E48:E53)</f>
        <v>1.50266666666667</v>
      </c>
      <c r="F5" s="9" t="n">
        <f aca="false">AVERAGE(F48:F53)</f>
        <v>2.4805</v>
      </c>
      <c r="G5" s="9" t="n">
        <f aca="false">AVERAGE(G48:G53)</f>
        <v>4.69383333333333</v>
      </c>
      <c r="H5" s="10" t="s">
        <v>10</v>
      </c>
    </row>
    <row r="6" customFormat="false" ht="22.7" hidden="false" customHeight="true" outlineLevel="0" collapsed="false">
      <c r="A6" s="8" t="s">
        <v>11</v>
      </c>
      <c r="B6" s="11" t="n">
        <f aca="false">STDEV(B48:B62)</f>
        <v>0.00273077696949838</v>
      </c>
      <c r="C6" s="11" t="n">
        <f aca="false">STDEV(C48:C53)</f>
        <v>0.00213697605664328</v>
      </c>
      <c r="D6" s="11" t="n">
        <f aca="false">STDEV(D48:D53)</f>
        <v>0.00417931413830864</v>
      </c>
      <c r="E6" s="11" t="n">
        <f aca="false">STDEV(E48:E53)</f>
        <v>0.00136626010212793</v>
      </c>
      <c r="F6" s="11" t="n">
        <f aca="false">STDEV(F48:F53)</f>
        <v>0.00122474487139156</v>
      </c>
      <c r="G6" s="11" t="n">
        <f aca="false">STDEV(G48:G53)</f>
        <v>0.00365604522218559</v>
      </c>
      <c r="H6" s="10"/>
    </row>
    <row r="7" customFormat="false" ht="22.7" hidden="false" customHeight="true" outlineLevel="0" collapsed="false">
      <c r="A7" s="8" t="s">
        <v>12</v>
      </c>
      <c r="B7" s="12" t="n">
        <f aca="false">B6/SQRT(13)</f>
        <v>0.000757381260414044</v>
      </c>
      <c r="C7" s="12" t="n">
        <f aca="false">C6/SQRT(6)</f>
        <v>0.000872416821886828</v>
      </c>
      <c r="D7" s="12" t="n">
        <f aca="false">D6/SQRT(6)</f>
        <v>0.00170619785227595</v>
      </c>
      <c r="E7" s="12" t="n">
        <f aca="false">E6/SQRT(6)</f>
        <v>0.000557773351022709</v>
      </c>
      <c r="F7" s="12" t="n">
        <f aca="false">F6/SQRT(6)</f>
        <v>0.000499999999999989</v>
      </c>
      <c r="G7" s="12" t="n">
        <f aca="false">G6/SQRT(6)</f>
        <v>0.00149257421181584</v>
      </c>
      <c r="H7" s="10"/>
    </row>
    <row r="8" customFormat="false" ht="22.7" hidden="false" customHeight="true" outlineLevel="0" collapsed="false">
      <c r="A8" s="8"/>
      <c r="B8" s="13"/>
      <c r="C8" s="14"/>
      <c r="D8" s="14"/>
      <c r="E8" s="14"/>
      <c r="F8" s="14"/>
      <c r="G8" s="14"/>
      <c r="H8" s="10"/>
    </row>
    <row r="9" customFormat="false" ht="22.7" hidden="false" customHeight="true" outlineLevel="0" collapsed="false">
      <c r="A9" s="8" t="s">
        <v>13</v>
      </c>
      <c r="B9" s="15" t="n">
        <f aca="false">F37</f>
        <v>0.001</v>
      </c>
      <c r="C9" s="15" t="n">
        <f aca="false">F38</f>
        <v>0.001</v>
      </c>
      <c r="D9" s="15" t="n">
        <f aca="false">F39</f>
        <v>0.001</v>
      </c>
      <c r="E9" s="15" t="n">
        <f aca="false">F40</f>
        <v>0.001</v>
      </c>
      <c r="F9" s="15" t="n">
        <f aca="false">F41</f>
        <v>0.001</v>
      </c>
      <c r="G9" s="15" t="n">
        <f aca="false">F42</f>
        <v>0.001</v>
      </c>
      <c r="H9" s="10"/>
    </row>
    <row r="10" customFormat="false" ht="22.7" hidden="false" customHeight="true" outlineLevel="0" collapsed="false">
      <c r="A10" s="8" t="s">
        <v>14</v>
      </c>
      <c r="B10" s="16" t="n">
        <f aca="false">B9/2</f>
        <v>0.0005</v>
      </c>
      <c r="C10" s="16" t="n">
        <f aca="false">C9/2</f>
        <v>0.0005</v>
      </c>
      <c r="D10" s="16" t="n">
        <f aca="false">D9/2</f>
        <v>0.0005</v>
      </c>
      <c r="E10" s="16" t="n">
        <f aca="false">E9/2</f>
        <v>0.0005</v>
      </c>
      <c r="F10" s="16" t="n">
        <f aca="false">F9/2</f>
        <v>0.0005</v>
      </c>
      <c r="G10" s="16" t="n">
        <f aca="false">G9/2</f>
        <v>0.0005</v>
      </c>
      <c r="H10" s="10"/>
    </row>
    <row r="11" customFormat="false" ht="22.7" hidden="false" customHeight="true" outlineLevel="0" collapsed="false">
      <c r="A11" s="8" t="s">
        <v>15</v>
      </c>
      <c r="B11" s="17" t="n">
        <f aca="false">B10/SQRT(3)</f>
        <v>0.000288675134594813</v>
      </c>
      <c r="C11" s="17" t="n">
        <f aca="false">C10/SQRT(3)</f>
        <v>0.000288675134594813</v>
      </c>
      <c r="D11" s="17" t="n">
        <f aca="false">D10/SQRT(3)</f>
        <v>0.000288675134594813</v>
      </c>
      <c r="E11" s="17" t="n">
        <f aca="false">E10/SQRT(3)</f>
        <v>0.000288675134594813</v>
      </c>
      <c r="F11" s="17" t="n">
        <f aca="false">F10/SQRT(3)</f>
        <v>0.000288675134594813</v>
      </c>
      <c r="G11" s="17" t="n">
        <f aca="false">G10/SQRT(3)</f>
        <v>0.000288675134594813</v>
      </c>
      <c r="H11" s="10"/>
    </row>
    <row r="12" customFormat="false" ht="22.7" hidden="false" customHeight="true" outlineLevel="0" collapsed="false">
      <c r="A12" s="8"/>
      <c r="B12" s="15"/>
      <c r="C12" s="15"/>
      <c r="D12" s="15"/>
      <c r="E12" s="15"/>
      <c r="F12" s="15"/>
      <c r="G12" s="15"/>
      <c r="H12" s="10"/>
    </row>
    <row r="13" customFormat="false" ht="22.7" hidden="false" customHeight="true" outlineLevel="0" collapsed="false">
      <c r="A13" s="8" t="s">
        <v>16</v>
      </c>
      <c r="B13" s="16"/>
      <c r="C13" s="17" t="n">
        <v>0.00043</v>
      </c>
      <c r="D13" s="17" t="n">
        <v>0.00093</v>
      </c>
      <c r="E13" s="17" t="n">
        <v>0.0026</v>
      </c>
      <c r="F13" s="17" t="n">
        <v>0.004</v>
      </c>
      <c r="G13" s="17" t="n">
        <v>0.0072</v>
      </c>
      <c r="H13" s="10"/>
    </row>
    <row r="14" customFormat="false" ht="22.7" hidden="false" customHeight="true" outlineLevel="0" collapsed="false">
      <c r="A14" s="8"/>
      <c r="B14" s="15"/>
      <c r="C14" s="15"/>
      <c r="D14" s="15"/>
      <c r="E14" s="15"/>
      <c r="F14" s="15"/>
      <c r="G14" s="15"/>
      <c r="H14" s="10"/>
    </row>
    <row r="15" customFormat="false" ht="22.7" hidden="false" customHeight="true" outlineLevel="0" collapsed="false">
      <c r="A15" s="18" t="s">
        <v>17</v>
      </c>
      <c r="B15" s="19" t="n">
        <f aca="false">SQRT(B7^2+B11^2)</f>
        <v>0.000810530509579806</v>
      </c>
      <c r="C15" s="19" t="n">
        <f aca="false">SQRT(C7^2+C11^2+C13^2)</f>
        <v>0.00101456613606233</v>
      </c>
      <c r="D15" s="19" t="n">
        <f aca="false">SQRT(D7^2+D11^2+D13^2)</f>
        <v>0.00196452142885854</v>
      </c>
      <c r="E15" s="19" t="n">
        <f aca="false">SQRT(E7^2+E11^2+E13^2)</f>
        <v>0.00267477932630795</v>
      </c>
      <c r="F15" s="19" t="n">
        <f aca="false">SQRT(F7^2+F11^2+F13^2)</f>
        <v>0.00404145188432738</v>
      </c>
      <c r="G15" s="19" t="n">
        <f aca="false">SQRT(G7^2+G11^2+G13^2)</f>
        <v>0.0073587438541582</v>
      </c>
      <c r="H15" s="10"/>
    </row>
    <row r="16" customFormat="false" ht="22.7" hidden="false" customHeight="true" outlineLevel="0" collapsed="false">
      <c r="A16" s="20" t="s">
        <v>18</v>
      </c>
      <c r="B16" s="21" t="n">
        <f aca="false">B15*2</f>
        <v>0.00162106101915961</v>
      </c>
      <c r="C16" s="21" t="n">
        <f aca="false">C15*2</f>
        <v>0.00202913227212466</v>
      </c>
      <c r="D16" s="21" t="n">
        <f aca="false">D15*2</f>
        <v>0.00392904285771709</v>
      </c>
      <c r="E16" s="21" t="n">
        <f aca="false">E15*2</f>
        <v>0.00534955865261591</v>
      </c>
      <c r="F16" s="21" t="n">
        <f aca="false">F15*2</f>
        <v>0.00808290376865476</v>
      </c>
      <c r="G16" s="21" t="n">
        <f aca="false">G15*2</f>
        <v>0.0147174877083164</v>
      </c>
      <c r="H16" s="10"/>
    </row>
    <row r="17" customFormat="false" ht="22.7" hidden="false" customHeight="true" outlineLevel="0" collapsed="false">
      <c r="A17" s="8"/>
      <c r="B17" s="15"/>
      <c r="C17" s="15"/>
      <c r="D17" s="15"/>
      <c r="E17" s="15"/>
      <c r="F17" s="15"/>
      <c r="G17" s="15"/>
      <c r="H17" s="10"/>
    </row>
    <row r="18" customFormat="false" ht="18" hidden="false" customHeight="false" outlineLevel="0" collapsed="false">
      <c r="A18" s="22" t="s">
        <v>19</v>
      </c>
      <c r="B18" s="23"/>
      <c r="C18" s="24" t="n">
        <f aca="false">C5-$B$5</f>
        <v>0.211633333333333</v>
      </c>
      <c r="D18" s="24" t="n">
        <f aca="false">D5-$B$5</f>
        <v>0.552133333333333</v>
      </c>
      <c r="E18" s="24" t="n">
        <f aca="false">E5-$B$5</f>
        <v>1.03546666666667</v>
      </c>
      <c r="F18" s="24" t="n">
        <f aca="false">F5-$B$5</f>
        <v>2.0133</v>
      </c>
      <c r="G18" s="24" t="n">
        <f aca="false">G5-$B$5</f>
        <v>4.22663333333333</v>
      </c>
      <c r="H18" s="10"/>
    </row>
    <row r="19" customFormat="false" ht="18" hidden="false" customHeight="false" outlineLevel="0" collapsed="false">
      <c r="A19" s="22" t="s">
        <v>20</v>
      </c>
      <c r="B19" s="13"/>
      <c r="C19" s="25" t="n">
        <v>0.2143</v>
      </c>
      <c r="D19" s="25" t="n">
        <v>0.5539</v>
      </c>
      <c r="E19" s="25" t="n">
        <v>1.017</v>
      </c>
      <c r="F19" s="25" t="n">
        <v>1.992</v>
      </c>
      <c r="G19" s="25" t="n">
        <v>4.216</v>
      </c>
      <c r="H19" s="10"/>
    </row>
    <row r="20" customFormat="false" ht="17.35" hidden="false" customHeight="false" outlineLevel="0" collapsed="false">
      <c r="A20" s="22" t="s">
        <v>21</v>
      </c>
      <c r="B20" s="13"/>
      <c r="C20" s="26" t="n">
        <f aca="false">ABS(C19-C18)</f>
        <v>0.0026666666666666</v>
      </c>
      <c r="D20" s="26" t="n">
        <f aca="false">ABS(D19-D18)</f>
        <v>0.00176666666666681</v>
      </c>
      <c r="E20" s="26" t="n">
        <f aca="false">ABS(E19-E18)</f>
        <v>0.0184666666666666</v>
      </c>
      <c r="F20" s="26" t="n">
        <f aca="false">ABS(F19-F18)</f>
        <v>0.0212999999999997</v>
      </c>
      <c r="G20" s="26" t="n">
        <f aca="false">ABS(G19-G18)</f>
        <v>0.0106333333333328</v>
      </c>
      <c r="H20" s="10"/>
    </row>
    <row r="21" customFormat="false" ht="17.35" hidden="false" customHeight="false" outlineLevel="0" collapsed="false">
      <c r="A21" s="8" t="s">
        <v>22</v>
      </c>
      <c r="B21" s="27" t="n">
        <f aca="false">B5*C37/100+D37*B9+E37</f>
        <v>0.05336</v>
      </c>
      <c r="C21" s="27" t="n">
        <f aca="false">C18*C38/100+D38*C9+E38</f>
        <v>0.0405816666666667</v>
      </c>
      <c r="D21" s="27" t="n">
        <f aca="false">D18*C39/100+D39*D9+E39</f>
        <v>0.0576066666666667</v>
      </c>
      <c r="E21" s="27" t="n">
        <f aca="false">C40*E18/100+D40*E9+E40</f>
        <v>0.0817733333333333</v>
      </c>
      <c r="F21" s="27" t="n">
        <f aca="false">C41*F18/100+D41*F9+E41</f>
        <v>0.130665</v>
      </c>
      <c r="G21" s="27" t="n">
        <f aca="false">C42*G18/100+D42*G9+E42</f>
        <v>0.241331666666667</v>
      </c>
      <c r="H21" s="10"/>
    </row>
    <row r="22" customFormat="false" ht="39.8" hidden="false" customHeight="true" outlineLevel="0" collapsed="false">
      <c r="A22" s="28" t="s">
        <v>23</v>
      </c>
      <c r="B22" s="13"/>
      <c r="C22" s="29" t="str">
        <f aca="false">IF(C20+C16&lt;=C21,"OK","ŹLE")</f>
        <v>OK</v>
      </c>
      <c r="D22" s="29" t="str">
        <f aca="false">IF(D20+D16&lt;=D21,"OK","ŹLE")</f>
        <v>OK</v>
      </c>
      <c r="E22" s="29" t="str">
        <f aca="false">IF(E20+E16&lt;=E21,"OK","ŹLE")</f>
        <v>OK</v>
      </c>
      <c r="F22" s="29" t="str">
        <f aca="false">IF(F20+F16&lt;=F21,"OK","ŹLE")</f>
        <v>OK</v>
      </c>
      <c r="G22" s="29" t="str">
        <f aca="false">IF((G20+G16)&lt;=G21,"OK","ŹLE")</f>
        <v>OK</v>
      </c>
      <c r="H22" s="10"/>
    </row>
    <row r="23" customFormat="false" ht="104.45" hidden="false" customHeight="true" outlineLevel="0" collapsed="false">
      <c r="A23" s="30" t="s">
        <v>24</v>
      </c>
      <c r="B23" s="31" t="n">
        <f aca="false">B7/B5</f>
        <v>0.00162110714985883</v>
      </c>
      <c r="C23" s="32" t="str">
        <f aca="false">IF(B23&lt;0.005,"SIEĆ STABILNA","SIEĆ NIESTABILNA - ROZWAŻ PONOWNY POMIAR Zo")</f>
        <v>SIEĆ STABILNA</v>
      </c>
      <c r="D23" s="32" t="s">
        <v>25</v>
      </c>
      <c r="E23" s="33" t="str">
        <f aca="false">IF(((C20+C16)&lt;=C21)*((D20+D16)&lt;=D21)*((E20+E16)&lt;=E21)*((F20+F16)&lt;=F21)*((G20+G16)&lt;=G21)*(B24&lt;0.5), "MIERNIK DZIAŁA POPRAWNIE", "MIERNIK DZIAŁA NIEPOPRAWNIE")</f>
        <v>MIERNIK DZIAŁA POPRAWNIE</v>
      </c>
      <c r="F23" s="33"/>
      <c r="G23" s="33"/>
      <c r="H23" s="10"/>
    </row>
    <row r="24" customFormat="false" ht="17.35" hidden="true" customHeight="false" outlineLevel="0" collapsed="false">
      <c r="A24" s="30"/>
      <c r="B24" s="31"/>
      <c r="C24" s="31"/>
      <c r="D24" s="31"/>
      <c r="E24" s="31"/>
      <c r="F24" s="33"/>
      <c r="G24" s="33"/>
    </row>
    <row r="25" customFormat="false" ht="17.35" hidden="true" customHeight="false" outlineLevel="0" collapsed="false">
      <c r="A25" s="30"/>
      <c r="B25" s="31"/>
      <c r="C25" s="31"/>
      <c r="D25" s="31"/>
      <c r="E25" s="31"/>
      <c r="F25" s="33"/>
      <c r="G25" s="33"/>
    </row>
    <row r="26" customFormat="false" ht="17.35" hidden="true" customHeight="false" outlineLevel="0" collapsed="false">
      <c r="A26" s="30"/>
      <c r="B26" s="31"/>
      <c r="C26" s="31"/>
      <c r="D26" s="31"/>
      <c r="E26" s="31"/>
      <c r="F26" s="33"/>
      <c r="G26" s="33"/>
    </row>
    <row r="27" customFormat="false" ht="17.35" hidden="true" customHeight="false" outlineLevel="0" collapsed="false">
      <c r="A27" s="30"/>
      <c r="B27" s="31"/>
      <c r="C27" s="31"/>
      <c r="D27" s="31"/>
      <c r="E27" s="31"/>
      <c r="F27" s="33"/>
      <c r="G27" s="33"/>
    </row>
    <row r="28" customFormat="false" ht="17.35" hidden="true" customHeight="false" outlineLevel="0" collapsed="false">
      <c r="A28" s="30"/>
      <c r="B28" s="31"/>
      <c r="C28" s="31"/>
      <c r="D28" s="31"/>
      <c r="E28" s="31"/>
      <c r="F28" s="33"/>
      <c r="G28" s="33"/>
    </row>
    <row r="29" customFormat="false" ht="17.35" hidden="true" customHeight="false" outlineLevel="0" collapsed="false">
      <c r="A29" s="30"/>
      <c r="B29" s="31"/>
      <c r="C29" s="31"/>
      <c r="D29" s="31"/>
      <c r="E29" s="31"/>
      <c r="F29" s="33"/>
      <c r="G29" s="33"/>
    </row>
    <row r="30" customFormat="false" ht="17.35" hidden="true" customHeight="false" outlineLevel="0" collapsed="false">
      <c r="A30" s="30"/>
      <c r="B30" s="31"/>
      <c r="C30" s="31"/>
      <c r="D30" s="31"/>
      <c r="E30" s="31"/>
      <c r="F30" s="33"/>
      <c r="G30" s="33"/>
    </row>
    <row r="31" customFormat="false" ht="17.35" hidden="true" customHeight="false" outlineLevel="0" collapsed="false">
      <c r="A31" s="30"/>
      <c r="B31" s="31"/>
      <c r="C31" s="31"/>
      <c r="D31" s="31"/>
      <c r="E31" s="31"/>
      <c r="F31" s="33"/>
      <c r="G31" s="33"/>
    </row>
    <row r="32" customFormat="false" ht="14.15" hidden="true" customHeight="true" outlineLevel="0" collapsed="false">
      <c r="A32" s="30"/>
      <c r="B32" s="31"/>
      <c r="C32" s="31"/>
      <c r="D32" s="31"/>
      <c r="E32" s="31"/>
      <c r="F32" s="33"/>
      <c r="G32" s="33"/>
    </row>
    <row r="34" customFormat="false" ht="56.7" hidden="false" customHeight="true" outlineLevel="0" collapsed="false">
      <c r="B34" s="34" t="s">
        <v>26</v>
      </c>
      <c r="C34" s="34"/>
      <c r="D34" s="34"/>
      <c r="E34" s="34"/>
      <c r="F34" s="34"/>
    </row>
    <row r="36" customFormat="false" ht="34.8" hidden="false" customHeight="true" outlineLevel="0" collapsed="false">
      <c r="A36" s="35"/>
      <c r="B36" s="36"/>
      <c r="C36" s="37" t="s">
        <v>27</v>
      </c>
      <c r="D36" s="37" t="s">
        <v>28</v>
      </c>
      <c r="E36" s="37" t="s">
        <v>29</v>
      </c>
      <c r="F36" s="38" t="s">
        <v>30</v>
      </c>
      <c r="G36" s="0"/>
    </row>
    <row r="37" customFormat="false" ht="25.7" hidden="false" customHeight="true" outlineLevel="0" collapsed="false">
      <c r="A37" s="39" t="s">
        <v>31</v>
      </c>
      <c r="B37" s="40" t="s">
        <v>1</v>
      </c>
      <c r="C37" s="37" t="n">
        <v>5</v>
      </c>
      <c r="D37" s="37" t="n">
        <v>0</v>
      </c>
      <c r="E37" s="37" t="n">
        <v>0.03</v>
      </c>
      <c r="F37" s="37" t="n">
        <v>0.001</v>
      </c>
      <c r="G37" s="0"/>
    </row>
    <row r="38" customFormat="false" ht="20.1" hidden="false" customHeight="false" outlineLevel="0" collapsed="false">
      <c r="A38" s="39"/>
      <c r="B38" s="41" t="s">
        <v>32</v>
      </c>
      <c r="C38" s="37" t="n">
        <v>5</v>
      </c>
      <c r="D38" s="37" t="n">
        <v>0</v>
      </c>
      <c r="E38" s="37" t="n">
        <v>0.03</v>
      </c>
      <c r="F38" s="37" t="n">
        <v>0.001</v>
      </c>
      <c r="G38" s="0"/>
    </row>
    <row r="39" customFormat="false" ht="20.1" hidden="false" customHeight="false" outlineLevel="0" collapsed="false">
      <c r="A39" s="39"/>
      <c r="B39" s="41" t="s">
        <v>33</v>
      </c>
      <c r="C39" s="37" t="n">
        <v>5</v>
      </c>
      <c r="D39" s="37" t="n">
        <v>0</v>
      </c>
      <c r="E39" s="37" t="n">
        <v>0.03</v>
      </c>
      <c r="F39" s="37" t="n">
        <v>0.001</v>
      </c>
      <c r="G39" s="0"/>
    </row>
    <row r="40" customFormat="false" ht="20.1" hidden="false" customHeight="false" outlineLevel="0" collapsed="false">
      <c r="A40" s="39"/>
      <c r="B40" s="41" t="s">
        <v>34</v>
      </c>
      <c r="C40" s="37" t="n">
        <v>5</v>
      </c>
      <c r="D40" s="37" t="n">
        <v>0</v>
      </c>
      <c r="E40" s="37" t="n">
        <v>0.03</v>
      </c>
      <c r="F40" s="37" t="n">
        <v>0.001</v>
      </c>
    </row>
    <row r="41" customFormat="false" ht="20.1" hidden="false" customHeight="false" outlineLevel="0" collapsed="false">
      <c r="A41" s="39"/>
      <c r="B41" s="41" t="s">
        <v>35</v>
      </c>
      <c r="C41" s="37" t="n">
        <v>5</v>
      </c>
      <c r="D41" s="37" t="n">
        <v>0</v>
      </c>
      <c r="E41" s="37" t="n">
        <v>0.03</v>
      </c>
      <c r="F41" s="37" t="n">
        <v>0.001</v>
      </c>
    </row>
    <row r="42" customFormat="false" ht="20.1" hidden="false" customHeight="false" outlineLevel="0" collapsed="false">
      <c r="A42" s="39"/>
      <c r="B42" s="41" t="s">
        <v>36</v>
      </c>
      <c r="C42" s="37" t="n">
        <v>5</v>
      </c>
      <c r="D42" s="37" t="n">
        <v>0</v>
      </c>
      <c r="E42" s="37" t="n">
        <v>0.03</v>
      </c>
      <c r="F42" s="37" t="n">
        <v>0.001</v>
      </c>
    </row>
    <row r="43" customFormat="false" ht="33.55" hidden="false" customHeight="true" outlineLevel="0" collapsed="false"/>
    <row r="44" customFormat="false" ht="20.85" hidden="false" customHeight="true" outlineLevel="0" collapsed="false">
      <c r="B44" s="42"/>
      <c r="C44" s="42"/>
      <c r="D44" s="42"/>
      <c r="E44" s="42"/>
      <c r="F44" s="42"/>
      <c r="G44" s="42"/>
    </row>
    <row r="45" customFormat="false" ht="23.85" hidden="false" customHeight="true" outlineLevel="0" collapsed="false">
      <c r="B45" s="43" t="s">
        <v>37</v>
      </c>
      <c r="C45" s="43"/>
      <c r="D45" s="43"/>
      <c r="E45" s="43"/>
      <c r="F45" s="43"/>
      <c r="G45" s="43"/>
    </row>
    <row r="46" customFormat="false" ht="25.85" hidden="false" customHeight="false" outlineLevel="0" collapsed="false">
      <c r="B46" s="4" t="s">
        <v>1</v>
      </c>
      <c r="C46" s="5" t="s">
        <v>2</v>
      </c>
      <c r="D46" s="5" t="s">
        <v>3</v>
      </c>
      <c r="E46" s="5" t="s">
        <v>4</v>
      </c>
      <c r="F46" s="5" t="s">
        <v>5</v>
      </c>
      <c r="G46" s="5" t="s">
        <v>6</v>
      </c>
    </row>
    <row r="47" customFormat="false" ht="15" hidden="false" customHeight="false" outlineLevel="0" collapsed="false">
      <c r="B47" s="6" t="s">
        <v>8</v>
      </c>
      <c r="C47" s="6" t="s">
        <v>8</v>
      </c>
      <c r="D47" s="6" t="s">
        <v>8</v>
      </c>
      <c r="E47" s="6" t="s">
        <v>8</v>
      </c>
      <c r="F47" s="6" t="s">
        <v>8</v>
      </c>
      <c r="G47" s="6" t="s">
        <v>8</v>
      </c>
    </row>
    <row r="48" customFormat="false" ht="15" hidden="false" customHeight="true" outlineLevel="0" collapsed="false">
      <c r="B48" s="44" t="n">
        <v>0.469</v>
      </c>
      <c r="C48" s="45" t="n">
        <v>0.679</v>
      </c>
      <c r="D48" s="45" t="n">
        <v>1.021</v>
      </c>
      <c r="E48" s="45" t="n">
        <v>1.502</v>
      </c>
      <c r="F48" s="45" t="n">
        <v>2.481</v>
      </c>
      <c r="G48" s="45" t="n">
        <v>4.697</v>
      </c>
      <c r="H48" s="46" t="s">
        <v>38</v>
      </c>
    </row>
    <row r="49" customFormat="false" ht="15" hidden="false" customHeight="false" outlineLevel="0" collapsed="false">
      <c r="B49" s="44" t="n">
        <v>0.465</v>
      </c>
      <c r="C49" s="45" t="n">
        <v>0.681</v>
      </c>
      <c r="D49" s="45" t="n">
        <v>1.022</v>
      </c>
      <c r="E49" s="45" t="n">
        <v>1.503</v>
      </c>
      <c r="F49" s="45" t="n">
        <v>2.481</v>
      </c>
      <c r="G49" s="45" t="n">
        <v>4.692</v>
      </c>
      <c r="H49" s="46"/>
    </row>
    <row r="50" customFormat="false" ht="15" hidden="false" customHeight="false" outlineLevel="0" collapsed="false">
      <c r="B50" s="44" t="n">
        <v>0.461</v>
      </c>
      <c r="C50" s="45" t="n">
        <v>0.68</v>
      </c>
      <c r="D50" s="45" t="n">
        <v>1.022</v>
      </c>
      <c r="E50" s="45" t="n">
        <v>1.501</v>
      </c>
      <c r="F50" s="45" t="n">
        <v>2.479</v>
      </c>
      <c r="G50" s="45" t="n">
        <v>4.694</v>
      </c>
      <c r="H50" s="46"/>
    </row>
    <row r="51" customFormat="false" ht="15" hidden="false" customHeight="false" outlineLevel="0" collapsed="false">
      <c r="B51" s="44" t="n">
        <v>0.47</v>
      </c>
      <c r="C51" s="45" t="n">
        <v>0.675</v>
      </c>
      <c r="D51" s="45" t="n">
        <v>1.023</v>
      </c>
      <c r="E51" s="45" t="n">
        <v>1.502</v>
      </c>
      <c r="F51" s="45" t="n">
        <v>2.479</v>
      </c>
      <c r="G51" s="45" t="n">
        <v>4.689</v>
      </c>
      <c r="H51" s="46"/>
    </row>
    <row r="52" customFormat="false" ht="15" hidden="false" customHeight="false" outlineLevel="0" collapsed="false">
      <c r="B52" s="44" t="n">
        <v>0.465</v>
      </c>
      <c r="C52" s="45" t="n">
        <v>0.678</v>
      </c>
      <c r="D52" s="45" t="n">
        <v>1.014</v>
      </c>
      <c r="E52" s="45" t="n">
        <v>1.503</v>
      </c>
      <c r="F52" s="45" t="n">
        <v>2.481</v>
      </c>
      <c r="G52" s="45" t="n">
        <v>4.692</v>
      </c>
      <c r="H52" s="46"/>
    </row>
    <row r="53" customFormat="false" ht="15" hidden="false" customHeight="false" outlineLevel="0" collapsed="false">
      <c r="B53" s="44" t="n">
        <v>0.464</v>
      </c>
      <c r="C53" s="45" t="n">
        <v>0.68</v>
      </c>
      <c r="D53" s="45" t="n">
        <v>1.014</v>
      </c>
      <c r="E53" s="45" t="n">
        <v>1.505</v>
      </c>
      <c r="F53" s="45" t="n">
        <v>2.482</v>
      </c>
      <c r="G53" s="45" t="n">
        <v>4.699</v>
      </c>
      <c r="H53" s="46"/>
    </row>
    <row r="54" customFormat="false" ht="15" hidden="false" customHeight="false" outlineLevel="0" collapsed="false">
      <c r="B54" s="44" t="n">
        <v>0.468</v>
      </c>
      <c r="C54" s="47"/>
      <c r="D54" s="47"/>
      <c r="E54" s="47"/>
      <c r="F54" s="47"/>
      <c r="G54" s="47"/>
      <c r="H54" s="46"/>
    </row>
    <row r="55" customFormat="false" ht="15" hidden="false" customHeight="false" outlineLevel="0" collapsed="false">
      <c r="B55" s="44" t="n">
        <v>0.47</v>
      </c>
      <c r="C55" s="47"/>
      <c r="D55" s="47"/>
      <c r="E55" s="47"/>
      <c r="F55" s="47"/>
      <c r="G55" s="47"/>
      <c r="H55" s="46"/>
    </row>
    <row r="56" customFormat="false" ht="15" hidden="false" customHeight="false" outlineLevel="0" collapsed="false">
      <c r="B56" s="44" t="n">
        <v>0.469</v>
      </c>
      <c r="C56" s="47"/>
      <c r="D56" s="47"/>
      <c r="E56" s="47"/>
      <c r="F56" s="47"/>
      <c r="G56" s="47"/>
      <c r="H56" s="46"/>
    </row>
    <row r="57" customFormat="false" ht="15" hidden="false" customHeight="false" outlineLevel="0" collapsed="false">
      <c r="B57" s="44" t="n">
        <v>0.464</v>
      </c>
      <c r="C57" s="47"/>
      <c r="D57" s="47"/>
      <c r="E57" s="47"/>
      <c r="F57" s="47"/>
      <c r="G57" s="47"/>
      <c r="H57" s="46"/>
    </row>
    <row r="58" customFormat="false" ht="15" hidden="false" customHeight="false" outlineLevel="0" collapsed="false">
      <c r="B58" s="44" t="n">
        <v>0.47</v>
      </c>
      <c r="C58" s="47"/>
      <c r="D58" s="47"/>
      <c r="E58" s="47"/>
      <c r="F58" s="47"/>
      <c r="G58" s="47"/>
      <c r="H58" s="46"/>
    </row>
    <row r="59" customFormat="false" ht="15" hidden="false" customHeight="false" outlineLevel="0" collapsed="false">
      <c r="B59" s="44" t="n">
        <v>0.468</v>
      </c>
      <c r="C59" s="47"/>
      <c r="D59" s="47"/>
      <c r="E59" s="47"/>
      <c r="F59" s="47"/>
      <c r="G59" s="47"/>
      <c r="H59" s="46"/>
    </row>
    <row r="60" customFormat="false" ht="15" hidden="false" customHeight="false" outlineLevel="0" collapsed="false">
      <c r="B60" s="44" t="n">
        <v>0.468</v>
      </c>
      <c r="C60" s="47"/>
      <c r="D60" s="47"/>
      <c r="E60" s="47"/>
      <c r="F60" s="47"/>
      <c r="G60" s="47"/>
      <c r="H60" s="46"/>
    </row>
    <row r="61" customFormat="false" ht="15" hidden="false" customHeight="false" outlineLevel="0" collapsed="false">
      <c r="B61" s="44" t="n">
        <v>0.468</v>
      </c>
      <c r="C61" s="47"/>
      <c r="D61" s="47"/>
      <c r="E61" s="47"/>
      <c r="F61" s="47"/>
      <c r="G61" s="47"/>
    </row>
    <row r="62" customFormat="false" ht="15" hidden="false" customHeight="false" outlineLevel="0" collapsed="false">
      <c r="B62" s="44" t="n">
        <v>0.469</v>
      </c>
      <c r="C62" s="47"/>
      <c r="D62" s="47"/>
      <c r="E62" s="47"/>
      <c r="F62" s="47"/>
      <c r="G62" s="47"/>
    </row>
  </sheetData>
  <mergeCells count="14">
    <mergeCell ref="A1:H2"/>
    <mergeCell ref="A3:A4"/>
    <mergeCell ref="H5:H23"/>
    <mergeCell ref="A23:A32"/>
    <mergeCell ref="B23:B32"/>
    <mergeCell ref="C23:C32"/>
    <mergeCell ref="D23:D32"/>
    <mergeCell ref="E23:G32"/>
    <mergeCell ref="B34:F34"/>
    <mergeCell ref="A37:A42"/>
    <mergeCell ref="A43:A60"/>
    <mergeCell ref="B44:G44"/>
    <mergeCell ref="B45:G45"/>
    <mergeCell ref="H48:H60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&amp;CStrona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226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2025-12-16T20:19:29Z</dcterms:created>
  <dc:creator/>
  <dc:description/>
  <dc:language>pl-PL</dc:language>
  <cp:lastModifiedBy/>
  <dcterms:modified xsi:type="dcterms:W3CDTF">2026-01-11T14:22:43Z</dcterms:modified>
  <cp:revision>54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